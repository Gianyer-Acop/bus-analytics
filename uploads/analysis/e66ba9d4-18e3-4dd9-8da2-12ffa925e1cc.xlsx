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.shortcut-targets-by-id\1lqXu1-ejLmakjzF_OP2-tm2FFRyujZ4w\PLANEJAMENTO\RASCUNHO\RETORNO FÉRIAS 2026\AJUSTE F.U\04 - INTEGRAÇÃO\"/>
    </mc:Choice>
  </mc:AlternateContent>
  <xr:revisionPtr revIDLastSave="0" documentId="13_ncr:1_{14A15BDC-12AC-4EDB-BACC-EEBBF4E1B057}" xr6:coauthVersionLast="47" xr6:coauthVersionMax="47" xr10:uidLastSave="{00000000-0000-0000-0000-000000000000}"/>
  <bookViews>
    <workbookView xWindow="20370" yWindow="1440" windowWidth="20730" windowHeight="11040" xr2:uid="{53B8F676-D837-4BB7-A83E-0570ABEC999D}"/>
  </bookViews>
  <sheets>
    <sheet name="09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4" i="1" l="1"/>
  <c r="G24" i="1"/>
  <c r="M23" i="1"/>
  <c r="G23" i="1"/>
  <c r="L22" i="1"/>
  <c r="J22" i="1"/>
  <c r="N22" i="1" s="1"/>
  <c r="G22" i="1"/>
  <c r="M21" i="1"/>
  <c r="G21" i="1"/>
  <c r="M20" i="1"/>
  <c r="G20" i="1"/>
  <c r="M19" i="1"/>
  <c r="F19" i="1"/>
  <c r="H19" i="1" s="1"/>
  <c r="D19" i="1"/>
  <c r="M18" i="1"/>
  <c r="G18" i="1"/>
  <c r="S17" i="1"/>
  <c r="Q17" i="1"/>
  <c r="S16" i="1"/>
  <c r="Q16" i="1"/>
  <c r="S15" i="1"/>
  <c r="Q15" i="1"/>
  <c r="S14" i="1"/>
  <c r="Q14" i="1"/>
  <c r="S13" i="1"/>
  <c r="Q13" i="1"/>
  <c r="S12" i="1"/>
  <c r="Q12" i="1"/>
  <c r="M12" i="1"/>
  <c r="G12" i="1"/>
  <c r="S11" i="1"/>
  <c r="Q11" i="1"/>
  <c r="M11" i="1"/>
  <c r="G11" i="1"/>
  <c r="S10" i="1"/>
  <c r="Q10" i="1"/>
  <c r="N10" i="1"/>
  <c r="N14" i="1" s="1"/>
  <c r="L10" i="1"/>
  <c r="J14" i="1" s="1"/>
  <c r="J10" i="1"/>
  <c r="F10" i="1"/>
  <c r="D10" i="1"/>
  <c r="S9" i="1"/>
  <c r="Q9" i="1"/>
  <c r="M9" i="1"/>
  <c r="G9" i="1"/>
  <c r="S8" i="1"/>
  <c r="Q8" i="1"/>
  <c r="M8" i="1"/>
  <c r="G8" i="1"/>
  <c r="S7" i="1"/>
  <c r="Q7" i="1"/>
  <c r="M7" i="1"/>
  <c r="G7" i="1"/>
  <c r="S6" i="1"/>
  <c r="M6" i="1"/>
  <c r="G6" i="1"/>
  <c r="P4" i="1"/>
  <c r="H26" i="1" l="1"/>
  <c r="D26" i="1"/>
  <c r="N26" i="1"/>
  <c r="J26" i="1"/>
  <c r="H10" i="1"/>
  <c r="H14" i="1" s="1"/>
  <c r="D14" i="1" l="1"/>
</calcChain>
</file>

<file path=xl/sharedStrings.xml><?xml version="1.0" encoding="utf-8"?>
<sst xmlns="http://schemas.openxmlformats.org/spreadsheetml/2006/main" count="45" uniqueCount="21">
  <si>
    <r>
      <rPr>
        <b/>
        <sz val="18"/>
        <color theme="1"/>
        <rFont val="Calibri"/>
      </rPr>
      <t xml:space="preserve"> QUADRO OPERACIONAL, </t>
    </r>
    <r>
      <rPr>
        <b/>
        <sz val="18"/>
        <color rgb="FFFF0000"/>
        <rFont val="Calibri"/>
      </rPr>
      <t>DIAS ÚTEIS</t>
    </r>
    <r>
      <rPr>
        <b/>
        <sz val="18"/>
        <color theme="1"/>
        <rFont val="Calibri"/>
      </rPr>
      <t>, LINHA 093</t>
    </r>
  </si>
  <si>
    <t>FREQUÊNCIA DA LINHA 093</t>
  </si>
  <si>
    <t>1º TURNO</t>
  </si>
  <si>
    <t>DIAS ÚTEIS</t>
  </si>
  <si>
    <t>TAB - 0101</t>
  </si>
  <si>
    <t>TAB - 0102</t>
  </si>
  <si>
    <t>DESLOCAMENTO</t>
  </si>
  <si>
    <t>IDA</t>
  </si>
  <si>
    <t>VOLTA</t>
  </si>
  <si>
    <t>TÉRM.</t>
  </si>
  <si>
    <t>T. VIAG.</t>
  </si>
  <si>
    <t>LINHA</t>
  </si>
  <si>
    <t>VEIC.</t>
  </si>
  <si>
    <t>HORA</t>
  </si>
  <si>
    <t>FREQ.</t>
  </si>
  <si>
    <t>JORN.</t>
  </si>
  <si>
    <t>2º TURNO</t>
  </si>
  <si>
    <t>TAB - 0201</t>
  </si>
  <si>
    <t>TAB - 0202</t>
  </si>
  <si>
    <t>INTEGRAÇÃO - CONVENCIONAL AR</t>
  </si>
  <si>
    <t xml:space="preserve">INTEGRAÇÃO - CONVENCIONAL 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</si>
</sst>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2">
    <font>
      <sz val="11"/>
      <color theme="1"/>
      <name val="Calibri"/>
      <scheme val="minor"/>
    </font>
    <font>
      <sz val="12"/>
      <color theme="1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8"/>
      <color rgb="FFFF0000"/>
      <name val="Calibri"/>
    </font>
    <font>
      <sz val="11"/>
      <name val="Calibri"/>
    </font>
    <font>
      <b/>
      <sz val="14"/>
      <color theme="1"/>
      <name val="Calibri"/>
    </font>
    <font>
      <b/>
      <sz val="12"/>
      <color rgb="FFFF0000"/>
      <name val="Calibri"/>
    </font>
    <font>
      <b/>
      <sz val="12"/>
      <color theme="1"/>
      <name val="Calibri"/>
    </font>
    <font>
      <b/>
      <sz val="14"/>
      <color rgb="FFFF0000"/>
      <name val="Calibri"/>
    </font>
    <font>
      <sz val="12"/>
      <color rgb="FFFF0000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F6565"/>
        <bgColor rgb="FFFF6565"/>
      </patternFill>
    </fill>
    <fill>
      <patternFill patternType="solid">
        <fgColor rgb="FFBFBFBF"/>
        <bgColor rgb="FFBFBFBF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0" fontId="1" fillId="0" borderId="11" xfId="0" applyNumberFormat="1" applyFont="1" applyBorder="1" applyAlignment="1">
      <alignment horizontal="center" vertical="center"/>
    </xf>
    <xf numFmtId="20" fontId="1" fillId="0" borderId="12" xfId="0" applyNumberFormat="1" applyFont="1" applyBorder="1" applyAlignment="1">
      <alignment horizontal="center" vertical="center"/>
    </xf>
    <xf numFmtId="20" fontId="10" fillId="0" borderId="12" xfId="0" applyNumberFormat="1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7" fillId="0" borderId="15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20" fontId="7" fillId="0" borderId="16" xfId="0" applyNumberFormat="1" applyFont="1" applyBorder="1" applyAlignment="1">
      <alignment horizontal="center" vertical="center"/>
    </xf>
    <xf numFmtId="20" fontId="7" fillId="0" borderId="12" xfId="0" applyNumberFormat="1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4" borderId="3" xfId="0" applyFont="1" applyFill="1" applyBorder="1" applyAlignment="1">
      <alignment horizontal="center" vertical="center"/>
    </xf>
    <xf numFmtId="20" fontId="1" fillId="0" borderId="19" xfId="0" applyNumberFormat="1" applyFont="1" applyBorder="1" applyAlignment="1">
      <alignment horizontal="center" vertical="center"/>
    </xf>
    <xf numFmtId="20" fontId="7" fillId="0" borderId="20" xfId="0" applyNumberFormat="1" applyFont="1" applyBorder="1" applyAlignment="1">
      <alignment horizontal="center" vertical="center"/>
    </xf>
    <xf numFmtId="20" fontId="1" fillId="0" borderId="20" xfId="0" applyNumberFormat="1" applyFont="1" applyBorder="1" applyAlignment="1">
      <alignment horizontal="center" vertical="center"/>
    </xf>
    <xf numFmtId="20" fontId="7" fillId="0" borderId="21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0" xfId="0" applyFont="1"/>
    <xf numFmtId="20" fontId="7" fillId="4" borderId="2" xfId="0" applyNumberFormat="1" applyFont="1" applyFill="1" applyBorder="1" applyAlignment="1">
      <alignment horizontal="center" vertical="center"/>
    </xf>
    <xf numFmtId="0" fontId="5" fillId="0" borderId="3" xfId="0" applyFont="1" applyBorder="1"/>
    <xf numFmtId="20" fontId="6" fillId="5" borderId="4" xfId="0" applyNumberFormat="1" applyFont="1" applyFill="1" applyBorder="1" applyAlignment="1">
      <alignment horizontal="center" vertical="center"/>
    </xf>
    <xf numFmtId="0" fontId="5" fillId="0" borderId="2" xfId="0" applyFont="1" applyBorder="1"/>
    <xf numFmtId="20" fontId="8" fillId="4" borderId="4" xfId="0" applyNumberFormat="1" applyFont="1" applyFill="1" applyBorder="1" applyAlignment="1">
      <alignment horizontal="center" vertical="center"/>
    </xf>
    <xf numFmtId="20" fontId="8" fillId="6" borderId="24" xfId="0" applyNumberFormat="1" applyFont="1" applyFill="1" applyBorder="1" applyAlignment="1">
      <alignment horizontal="center" vertical="center"/>
    </xf>
    <xf numFmtId="0" fontId="5" fillId="0" borderId="7" xfId="0" applyFont="1" applyBorder="1"/>
    <xf numFmtId="20" fontId="7" fillId="3" borderId="6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textRotation="90"/>
    </xf>
    <xf numFmtId="0" fontId="5" fillId="0" borderId="22" xfId="0" applyFont="1" applyBorder="1"/>
    <xf numFmtId="20" fontId="7" fillId="4" borderId="4" xfId="0" applyNumberFormat="1" applyFont="1" applyFill="1" applyBorder="1" applyAlignment="1">
      <alignment horizontal="center" vertical="center"/>
    </xf>
    <xf numFmtId="20" fontId="8" fillId="6" borderId="4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textRotation="90"/>
    </xf>
    <xf numFmtId="0" fontId="5" fillId="0" borderId="5" xfId="0" applyFont="1" applyBorder="1"/>
    <xf numFmtId="0" fontId="5" fillId="0" borderId="23" xfId="0" applyFont="1" applyBorder="1"/>
    <xf numFmtId="0" fontId="3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textRotation="90"/>
    </xf>
    <xf numFmtId="0" fontId="0" fillId="0" borderId="0" xfId="0"/>
    <xf numFmtId="0" fontId="5" fillId="0" borderId="18" xfId="0" applyFont="1" applyBorder="1"/>
  </cellXfs>
  <cellStyles count="1">
    <cellStyle name="Normal" xfId="0" builtinId="0"/>
  </cellStyles>
  <dxfs count="2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F4B05-83C0-44DC-B135-8E7132361CDC}">
  <dimension ref="A1:Z1000"/>
  <sheetViews>
    <sheetView tabSelected="1" workbookViewId="0">
      <selection activeCell="J26" sqref="J26:M26"/>
    </sheetView>
  </sheetViews>
  <sheetFormatPr defaultColWidth="14.42578125" defaultRowHeight="15" customHeight="1"/>
  <cols>
    <col min="1" max="26" width="8.7109375" customWidth="1"/>
  </cols>
  <sheetData>
    <row r="1" spans="1:26" ht="24" customHeight="1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 thickBot="1">
      <c r="A2" s="1"/>
      <c r="B2" s="42">
        <v>46062</v>
      </c>
      <c r="C2" s="45" t="s">
        <v>0</v>
      </c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0"/>
      <c r="P2" s="46" t="s">
        <v>1</v>
      </c>
      <c r="Q2" s="32"/>
      <c r="R2" s="32"/>
      <c r="S2" s="30"/>
      <c r="T2" s="1"/>
      <c r="U2" s="1"/>
      <c r="V2" s="1"/>
      <c r="W2" s="1"/>
      <c r="X2" s="1"/>
      <c r="Y2" s="1"/>
      <c r="Z2" s="1"/>
    </row>
    <row r="3" spans="1:26" ht="24" customHeight="1" thickBot="1">
      <c r="A3" s="1"/>
      <c r="B3" s="43"/>
      <c r="C3" s="36">
        <v>1.3888888888888888E-2</v>
      </c>
      <c r="D3" s="37" t="s">
        <v>2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0"/>
      <c r="P3" s="47" t="s">
        <v>3</v>
      </c>
      <c r="Q3" s="32"/>
      <c r="R3" s="32"/>
      <c r="S3" s="30"/>
      <c r="T3" s="1"/>
      <c r="U3" s="1"/>
      <c r="V3" s="1"/>
      <c r="W3" s="1"/>
      <c r="X3" s="1"/>
      <c r="Y3" s="1"/>
      <c r="Z3" s="1"/>
    </row>
    <row r="4" spans="1:26" ht="24" customHeight="1" thickBot="1">
      <c r="A4" s="1"/>
      <c r="B4" s="43"/>
      <c r="C4" s="35"/>
      <c r="D4" s="37" t="s">
        <v>4</v>
      </c>
      <c r="E4" s="32"/>
      <c r="F4" s="32"/>
      <c r="G4" s="32"/>
      <c r="H4" s="32"/>
      <c r="I4" s="30"/>
      <c r="J4" s="37" t="s">
        <v>5</v>
      </c>
      <c r="K4" s="32"/>
      <c r="L4" s="32"/>
      <c r="M4" s="32"/>
      <c r="N4" s="32"/>
      <c r="O4" s="30"/>
      <c r="P4" s="46" t="str">
        <f>CONCATENATE(COUNT(P6:P17,R6:R17)," VIAGENS")</f>
        <v>24 VIAGENS</v>
      </c>
      <c r="Q4" s="32"/>
      <c r="R4" s="32"/>
      <c r="S4" s="30"/>
      <c r="T4" s="1"/>
      <c r="U4" s="1"/>
      <c r="V4" s="1"/>
      <c r="W4" s="1"/>
      <c r="X4" s="1"/>
      <c r="Y4" s="1"/>
      <c r="Z4" s="1"/>
    </row>
    <row r="5" spans="1:26" ht="24" customHeight="1" thickBot="1">
      <c r="A5" s="1"/>
      <c r="B5" s="43"/>
      <c r="C5" s="48" t="s">
        <v>6</v>
      </c>
      <c r="D5" s="2" t="s">
        <v>7</v>
      </c>
      <c r="E5" s="3" t="s">
        <v>8</v>
      </c>
      <c r="F5" s="4" t="s">
        <v>9</v>
      </c>
      <c r="G5" s="3" t="s">
        <v>10</v>
      </c>
      <c r="H5" s="4" t="s">
        <v>11</v>
      </c>
      <c r="I5" s="3" t="s">
        <v>12</v>
      </c>
      <c r="J5" s="2" t="s">
        <v>7</v>
      </c>
      <c r="K5" s="3" t="s">
        <v>8</v>
      </c>
      <c r="L5" s="4" t="s">
        <v>9</v>
      </c>
      <c r="M5" s="3" t="s">
        <v>10</v>
      </c>
      <c r="N5" s="4" t="s">
        <v>11</v>
      </c>
      <c r="O5" s="3" t="s">
        <v>12</v>
      </c>
      <c r="P5" s="5" t="s">
        <v>13</v>
      </c>
      <c r="Q5" s="6" t="s">
        <v>14</v>
      </c>
      <c r="R5" s="5" t="s">
        <v>13</v>
      </c>
      <c r="S5" s="6" t="s">
        <v>14</v>
      </c>
      <c r="T5" s="1"/>
      <c r="U5" s="1"/>
      <c r="V5" s="1"/>
      <c r="W5" s="1"/>
      <c r="X5" s="1"/>
      <c r="Y5" s="1"/>
      <c r="Z5" s="1"/>
    </row>
    <row r="6" spans="1:26" ht="24" customHeight="1">
      <c r="A6" s="1"/>
      <c r="B6" s="43"/>
      <c r="C6" s="49"/>
      <c r="D6" s="7">
        <v>0.1875</v>
      </c>
      <c r="E6" s="8">
        <v>0.20416666666666669</v>
      </c>
      <c r="F6" s="8">
        <v>0.22291666666666671</v>
      </c>
      <c r="G6" s="9">
        <f t="shared" ref="G6:G9" si="0">F6-D6</f>
        <v>3.5416666666666707E-2</v>
      </c>
      <c r="H6" s="10">
        <v>93</v>
      </c>
      <c r="I6" s="11">
        <v>1</v>
      </c>
      <c r="J6" s="7">
        <v>0.21111111111111111</v>
      </c>
      <c r="K6" s="8">
        <v>0.23194444444444451</v>
      </c>
      <c r="L6" s="8">
        <v>0.25416666666666671</v>
      </c>
      <c r="M6" s="9">
        <f t="shared" ref="M6:M9" si="1">L6-J6</f>
        <v>4.3055555555555597E-2</v>
      </c>
      <c r="N6" s="10">
        <v>93</v>
      </c>
      <c r="O6" s="11">
        <v>2</v>
      </c>
      <c r="P6" s="12">
        <v>0.1875</v>
      </c>
      <c r="Q6" s="13"/>
      <c r="R6" s="14">
        <v>0.55486111111111114</v>
      </c>
      <c r="S6" s="15">
        <f>R6-P17</f>
        <v>2.9861111111111116E-2</v>
      </c>
      <c r="T6" s="1"/>
      <c r="U6" s="1"/>
      <c r="V6" s="1"/>
      <c r="W6" s="1"/>
      <c r="X6" s="1"/>
      <c r="Y6" s="1"/>
      <c r="Z6" s="1"/>
    </row>
    <row r="7" spans="1:26" ht="24" customHeight="1">
      <c r="A7" s="1"/>
      <c r="B7" s="43"/>
      <c r="C7" s="49"/>
      <c r="D7" s="7">
        <v>0.23402777777777781</v>
      </c>
      <c r="E7" s="8">
        <v>0.25833333333333341</v>
      </c>
      <c r="F7" s="8">
        <v>0.28611111111111109</v>
      </c>
      <c r="G7" s="9">
        <f t="shared" si="0"/>
        <v>5.2083333333333287E-2</v>
      </c>
      <c r="H7" s="10">
        <v>93</v>
      </c>
      <c r="I7" s="11">
        <v>1</v>
      </c>
      <c r="J7" s="7">
        <v>0.2638888888888889</v>
      </c>
      <c r="K7" s="8">
        <v>0.2902777777777778</v>
      </c>
      <c r="L7" s="8">
        <v>0.31458333333333333</v>
      </c>
      <c r="M7" s="9">
        <f t="shared" si="1"/>
        <v>5.0694444444444431E-2</v>
      </c>
      <c r="N7" s="10">
        <v>93</v>
      </c>
      <c r="O7" s="11">
        <v>2</v>
      </c>
      <c r="P7" s="7">
        <v>0.21111111111111111</v>
      </c>
      <c r="Q7" s="16">
        <f t="shared" ref="Q7:Q17" si="2">P7-P6</f>
        <v>2.361111111111111E-2</v>
      </c>
      <c r="R7" s="8">
        <v>0.58472222222222225</v>
      </c>
      <c r="S7" s="17">
        <f t="shared" ref="S7:S17" si="3">R7-R6</f>
        <v>2.9861111111111116E-2</v>
      </c>
      <c r="T7" s="1"/>
      <c r="U7" s="1"/>
      <c r="V7" s="1"/>
      <c r="W7" s="1"/>
      <c r="X7" s="1"/>
      <c r="Y7" s="1"/>
      <c r="Z7" s="1"/>
    </row>
    <row r="8" spans="1:26" ht="24" customHeight="1">
      <c r="A8" s="1"/>
      <c r="B8" s="43"/>
      <c r="C8" s="49"/>
      <c r="D8" s="7">
        <v>0.29305555555555562</v>
      </c>
      <c r="E8" s="8">
        <v>0.31874999999999998</v>
      </c>
      <c r="F8" s="8">
        <v>0.34027777777777779</v>
      </c>
      <c r="G8" s="9">
        <f t="shared" si="0"/>
        <v>4.7222222222222165E-2</v>
      </c>
      <c r="H8" s="10">
        <v>93</v>
      </c>
      <c r="I8" s="11">
        <v>1</v>
      </c>
      <c r="J8" s="7">
        <v>0.3215277777777778</v>
      </c>
      <c r="K8" s="8">
        <v>0.34236111111111112</v>
      </c>
      <c r="L8" s="8">
        <v>0.36180555555555549</v>
      </c>
      <c r="M8" s="9">
        <f t="shared" si="1"/>
        <v>4.027777777777769E-2</v>
      </c>
      <c r="N8" s="10">
        <v>93</v>
      </c>
      <c r="O8" s="11">
        <v>2</v>
      </c>
      <c r="P8" s="7">
        <v>0.23402777777777781</v>
      </c>
      <c r="Q8" s="16">
        <f t="shared" si="2"/>
        <v>2.2916666666666696E-2</v>
      </c>
      <c r="R8" s="8">
        <v>0.63611111111111107</v>
      </c>
      <c r="S8" s="17">
        <f t="shared" si="3"/>
        <v>5.1388888888888817E-2</v>
      </c>
      <c r="T8" s="1"/>
      <c r="U8" s="1"/>
      <c r="V8" s="1"/>
      <c r="W8" s="1"/>
      <c r="X8" s="1"/>
      <c r="Y8" s="1"/>
      <c r="Z8" s="1"/>
    </row>
    <row r="9" spans="1:26" ht="24" customHeight="1" thickBot="1">
      <c r="A9" s="1"/>
      <c r="B9" s="43"/>
      <c r="C9" s="49"/>
      <c r="D9" s="7">
        <v>0.34722222222222221</v>
      </c>
      <c r="E9" s="8">
        <v>0.36875000000000002</v>
      </c>
      <c r="F9" s="8">
        <v>0.39097222222222222</v>
      </c>
      <c r="G9" s="9">
        <f t="shared" si="0"/>
        <v>4.3750000000000011E-2</v>
      </c>
      <c r="H9" s="10">
        <v>93</v>
      </c>
      <c r="I9" s="11">
        <v>1</v>
      </c>
      <c r="J9" s="7">
        <v>0.37638888888888888</v>
      </c>
      <c r="K9" s="8">
        <v>0.39583333333333331</v>
      </c>
      <c r="L9" s="8">
        <v>0.41666666666666669</v>
      </c>
      <c r="M9" s="9">
        <f t="shared" si="1"/>
        <v>4.0277777777777801E-2</v>
      </c>
      <c r="N9" s="10">
        <v>93</v>
      </c>
      <c r="O9" s="11">
        <v>2</v>
      </c>
      <c r="P9" s="7">
        <v>0.2638888888888889</v>
      </c>
      <c r="Q9" s="16">
        <f t="shared" si="2"/>
        <v>2.9861111111111088E-2</v>
      </c>
      <c r="R9" s="8">
        <v>0.66597222222222219</v>
      </c>
      <c r="S9" s="17">
        <f t="shared" si="3"/>
        <v>2.9861111111111116E-2</v>
      </c>
      <c r="T9" s="1"/>
      <c r="U9" s="1"/>
      <c r="V9" s="1"/>
      <c r="W9" s="1"/>
      <c r="X9" s="1"/>
      <c r="Y9" s="1"/>
      <c r="Z9" s="1"/>
    </row>
    <row r="10" spans="1:26" ht="24" customHeight="1" thickBot="1">
      <c r="A10" s="1"/>
      <c r="B10" s="43"/>
      <c r="C10" s="49"/>
      <c r="D10" s="40">
        <f>IF(F9="",E9,F9)</f>
        <v>0.39097222222222222</v>
      </c>
      <c r="E10" s="30"/>
      <c r="F10" s="40">
        <f>IF(D11="",E11,D11)</f>
        <v>0.43958333333333333</v>
      </c>
      <c r="G10" s="30"/>
      <c r="H10" s="29">
        <f>F10-D10</f>
        <v>4.8611111111111105E-2</v>
      </c>
      <c r="I10" s="30"/>
      <c r="J10" s="40">
        <f>IF(L9="",K9,L9)</f>
        <v>0.41666666666666669</v>
      </c>
      <c r="K10" s="30"/>
      <c r="L10" s="40">
        <f>IF(J11="",K11,J11)</f>
        <v>0.46736111111111112</v>
      </c>
      <c r="M10" s="30"/>
      <c r="N10" s="29">
        <f>L10-J10</f>
        <v>5.0694444444444431E-2</v>
      </c>
      <c r="O10" s="30"/>
      <c r="P10" s="7">
        <v>0.29305555555555562</v>
      </c>
      <c r="Q10" s="16">
        <f t="shared" si="2"/>
        <v>2.916666666666673E-2</v>
      </c>
      <c r="R10" s="8">
        <v>0.6958333333333333</v>
      </c>
      <c r="S10" s="17">
        <f t="shared" si="3"/>
        <v>2.9861111111111116E-2</v>
      </c>
      <c r="T10" s="1"/>
      <c r="U10" s="1"/>
      <c r="V10" s="1"/>
      <c r="W10" s="1"/>
      <c r="X10" s="1"/>
      <c r="Y10" s="1"/>
      <c r="Z10" s="1"/>
    </row>
    <row r="11" spans="1:26" ht="24" customHeight="1">
      <c r="A11" s="1"/>
      <c r="B11" s="43"/>
      <c r="C11" s="49"/>
      <c r="D11" s="7">
        <v>0.43958333333333333</v>
      </c>
      <c r="E11" s="8">
        <v>0.46319444444444452</v>
      </c>
      <c r="F11" s="8">
        <v>0.4861111111111111</v>
      </c>
      <c r="G11" s="9">
        <f t="shared" ref="G11:G12" si="4">F11-D11</f>
        <v>4.6527777777777779E-2</v>
      </c>
      <c r="H11" s="10">
        <v>93</v>
      </c>
      <c r="I11" s="11">
        <v>1</v>
      </c>
      <c r="J11" s="7">
        <v>0.46736111111111112</v>
      </c>
      <c r="K11" s="8">
        <v>0.48888888888888887</v>
      </c>
      <c r="L11" s="8">
        <v>0.51111111111111107</v>
      </c>
      <c r="M11" s="9">
        <f t="shared" ref="M11:M12" si="5">L11-J11</f>
        <v>4.3749999999999956E-2</v>
      </c>
      <c r="N11" s="10">
        <v>93</v>
      </c>
      <c r="O11" s="11">
        <v>2</v>
      </c>
      <c r="P11" s="7">
        <v>0.3215277777777778</v>
      </c>
      <c r="Q11" s="16">
        <f t="shared" si="2"/>
        <v>2.8472222222222177E-2</v>
      </c>
      <c r="R11" s="8">
        <v>0.72569444444444442</v>
      </c>
      <c r="S11" s="17">
        <f t="shared" si="3"/>
        <v>2.9861111111111116E-2</v>
      </c>
      <c r="T11" s="1"/>
      <c r="U11" s="1"/>
      <c r="V11" s="1"/>
      <c r="W11" s="1"/>
      <c r="X11" s="1"/>
      <c r="Y11" s="1"/>
      <c r="Z11" s="1"/>
    </row>
    <row r="12" spans="1:26" ht="24" customHeight="1" thickBot="1">
      <c r="A12" s="1"/>
      <c r="B12" s="43"/>
      <c r="C12" s="49"/>
      <c r="D12" s="7">
        <v>0.49513888888888891</v>
      </c>
      <c r="E12" s="8">
        <v>0.51944444444444449</v>
      </c>
      <c r="F12" s="8">
        <v>0.54374999999999996</v>
      </c>
      <c r="G12" s="9">
        <f t="shared" si="4"/>
        <v>4.8611111111111049E-2</v>
      </c>
      <c r="H12" s="10">
        <v>93</v>
      </c>
      <c r="I12" s="11">
        <v>1</v>
      </c>
      <c r="J12" s="7">
        <v>0.52500000000000002</v>
      </c>
      <c r="K12" s="8">
        <v>0.54513888888888884</v>
      </c>
      <c r="L12" s="8">
        <v>0.56527777777777777</v>
      </c>
      <c r="M12" s="9">
        <f t="shared" si="5"/>
        <v>4.0277777777777746E-2</v>
      </c>
      <c r="N12" s="10">
        <v>93</v>
      </c>
      <c r="O12" s="11">
        <v>2</v>
      </c>
      <c r="P12" s="7">
        <v>0.34722222222222221</v>
      </c>
      <c r="Q12" s="16">
        <f t="shared" si="2"/>
        <v>2.5694444444444409E-2</v>
      </c>
      <c r="R12" s="8">
        <v>0.75694444444444442</v>
      </c>
      <c r="S12" s="17">
        <f t="shared" si="3"/>
        <v>3.125E-2</v>
      </c>
      <c r="T12" s="1"/>
      <c r="U12" s="1"/>
      <c r="V12" s="1"/>
      <c r="W12" s="1"/>
      <c r="X12" s="1"/>
      <c r="Y12" s="1"/>
      <c r="Z12" s="1"/>
    </row>
    <row r="13" spans="1:26" ht="24" customHeight="1" thickBot="1">
      <c r="A13" s="18"/>
      <c r="B13" s="43"/>
      <c r="C13" s="50"/>
      <c r="D13" s="31" t="s">
        <v>19</v>
      </c>
      <c r="E13" s="32"/>
      <c r="F13" s="32"/>
      <c r="G13" s="32"/>
      <c r="H13" s="32"/>
      <c r="I13" s="30"/>
      <c r="J13" s="31" t="s">
        <v>20</v>
      </c>
      <c r="K13" s="32"/>
      <c r="L13" s="32"/>
      <c r="M13" s="32"/>
      <c r="N13" s="32"/>
      <c r="O13" s="30"/>
      <c r="P13" s="7">
        <v>0.37638888888888888</v>
      </c>
      <c r="Q13" s="16">
        <f t="shared" si="2"/>
        <v>2.9166666666666674E-2</v>
      </c>
      <c r="R13" s="8">
        <v>0.78819444444444442</v>
      </c>
      <c r="S13" s="17">
        <f t="shared" si="3"/>
        <v>3.125E-2</v>
      </c>
      <c r="T13" s="19"/>
      <c r="U13" s="19"/>
      <c r="V13" s="19"/>
      <c r="W13" s="19"/>
      <c r="X13" s="19"/>
      <c r="Y13" s="19"/>
      <c r="Z13" s="19"/>
    </row>
    <row r="14" spans="1:26" ht="24" customHeight="1" thickBot="1">
      <c r="A14" s="1"/>
      <c r="B14" s="43"/>
      <c r="C14" s="20" t="s">
        <v>15</v>
      </c>
      <c r="D14" s="33">
        <f>MAX(E6:F12)-IF(D6="",E6,D6)-MIN(H6:H12)+$C3</f>
        <v>0.32152777777777775</v>
      </c>
      <c r="E14" s="32"/>
      <c r="F14" s="32"/>
      <c r="G14" s="30"/>
      <c r="H14" s="41">
        <f ca="1">OFFSET(H5,MATCH(MIN(H6:H12),H6:H12,0),-4)-IF(D6="",E6,D6)+$C3</f>
        <v>0.21736111111111112</v>
      </c>
      <c r="I14" s="30"/>
      <c r="J14" s="33">
        <f>MAX(K6:L12)-IF(J6="",K6,J6)-MIN(N6:N12)+$C3</f>
        <v>0.31736111111111109</v>
      </c>
      <c r="K14" s="32"/>
      <c r="L14" s="32"/>
      <c r="M14" s="30"/>
      <c r="N14" s="41">
        <f ca="1">OFFSET(N5,MATCH(MIN(N6:N12),N6:N12,0),-4)-IF(J6="",K6,J6)+$C3</f>
        <v>0.21944444444444447</v>
      </c>
      <c r="O14" s="30"/>
      <c r="P14" s="7">
        <v>0.43958333333333333</v>
      </c>
      <c r="Q14" s="16">
        <f t="shared" si="2"/>
        <v>6.3194444444444442E-2</v>
      </c>
      <c r="R14" s="8">
        <v>0.84236111111111112</v>
      </c>
      <c r="S14" s="17">
        <f t="shared" si="3"/>
        <v>5.4166666666666696E-2</v>
      </c>
      <c r="T14" s="1"/>
      <c r="U14" s="1"/>
      <c r="V14" s="1"/>
      <c r="W14" s="1"/>
      <c r="X14" s="1"/>
      <c r="Y14" s="1"/>
      <c r="Z14" s="1"/>
    </row>
    <row r="15" spans="1:26" ht="24" customHeight="1" thickBot="1">
      <c r="A15" s="1"/>
      <c r="B15" s="43"/>
      <c r="C15" s="36">
        <v>1.3888888888888888E-2</v>
      </c>
      <c r="D15" s="37" t="s">
        <v>16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0"/>
      <c r="P15" s="7">
        <v>0.46736111111111112</v>
      </c>
      <c r="Q15" s="16">
        <f t="shared" si="2"/>
        <v>2.777777777777779E-2</v>
      </c>
      <c r="R15" s="8">
        <v>0.87361111111111112</v>
      </c>
      <c r="S15" s="17">
        <f t="shared" si="3"/>
        <v>3.125E-2</v>
      </c>
      <c r="T15" s="1"/>
      <c r="U15" s="1"/>
      <c r="V15" s="1"/>
      <c r="W15" s="1"/>
      <c r="X15" s="1"/>
      <c r="Y15" s="1"/>
      <c r="Z15" s="1"/>
    </row>
    <row r="16" spans="1:26" ht="24" customHeight="1" thickBot="1">
      <c r="A16" s="1"/>
      <c r="B16" s="43"/>
      <c r="C16" s="35"/>
      <c r="D16" s="37" t="s">
        <v>17</v>
      </c>
      <c r="E16" s="32"/>
      <c r="F16" s="32"/>
      <c r="G16" s="32"/>
      <c r="H16" s="32"/>
      <c r="I16" s="30"/>
      <c r="J16" s="37" t="s">
        <v>18</v>
      </c>
      <c r="K16" s="32"/>
      <c r="L16" s="32"/>
      <c r="M16" s="32"/>
      <c r="N16" s="32"/>
      <c r="O16" s="30"/>
      <c r="P16" s="7">
        <v>0.49513888888888891</v>
      </c>
      <c r="Q16" s="16">
        <f t="shared" si="2"/>
        <v>2.777777777777779E-2</v>
      </c>
      <c r="R16" s="8">
        <v>0.90208333333333335</v>
      </c>
      <c r="S16" s="17">
        <f t="shared" si="3"/>
        <v>2.8472222222222232E-2</v>
      </c>
      <c r="T16" s="1"/>
      <c r="U16" s="1"/>
      <c r="V16" s="1"/>
      <c r="W16" s="1"/>
      <c r="X16" s="1"/>
      <c r="Y16" s="1"/>
      <c r="Z16" s="1"/>
    </row>
    <row r="17" spans="1:26" ht="24" customHeight="1" thickBot="1">
      <c r="A17" s="1"/>
      <c r="B17" s="43"/>
      <c r="C17" s="38" t="s">
        <v>6</v>
      </c>
      <c r="D17" s="2" t="s">
        <v>7</v>
      </c>
      <c r="E17" s="3" t="s">
        <v>8</v>
      </c>
      <c r="F17" s="4" t="s">
        <v>9</v>
      </c>
      <c r="G17" s="3" t="s">
        <v>10</v>
      </c>
      <c r="H17" s="4" t="s">
        <v>11</v>
      </c>
      <c r="I17" s="3" t="s">
        <v>12</v>
      </c>
      <c r="J17" s="4" t="s">
        <v>7</v>
      </c>
      <c r="K17" s="3" t="s">
        <v>8</v>
      </c>
      <c r="L17" s="4" t="s">
        <v>9</v>
      </c>
      <c r="M17" s="3" t="s">
        <v>10</v>
      </c>
      <c r="N17" s="4" t="s">
        <v>11</v>
      </c>
      <c r="O17" s="3" t="s">
        <v>12</v>
      </c>
      <c r="P17" s="21">
        <v>0.52500000000000002</v>
      </c>
      <c r="Q17" s="22">
        <f t="shared" si="2"/>
        <v>2.9861111111111116E-2</v>
      </c>
      <c r="R17" s="23">
        <v>0.93055555555555558</v>
      </c>
      <c r="S17" s="24">
        <f t="shared" si="3"/>
        <v>2.8472222222222232E-2</v>
      </c>
      <c r="T17" s="1"/>
      <c r="U17" s="1"/>
      <c r="V17" s="1"/>
      <c r="W17" s="1"/>
      <c r="X17" s="1"/>
      <c r="Y17" s="1"/>
      <c r="Z17" s="1"/>
    </row>
    <row r="18" spans="1:26" ht="24" customHeight="1" thickBot="1">
      <c r="A18" s="1"/>
      <c r="B18" s="43"/>
      <c r="C18" s="39"/>
      <c r="D18" s="12">
        <v>0.55486111111111114</v>
      </c>
      <c r="E18" s="14">
        <v>0.57777777777777772</v>
      </c>
      <c r="F18" s="14">
        <v>0.6</v>
      </c>
      <c r="G18" s="9">
        <f>F18-D18</f>
        <v>4.513888888888884E-2</v>
      </c>
      <c r="H18" s="25">
        <v>93</v>
      </c>
      <c r="I18" s="26">
        <v>1</v>
      </c>
      <c r="J18" s="12">
        <v>0.58472222222222225</v>
      </c>
      <c r="K18" s="14">
        <v>0.60486111111111107</v>
      </c>
      <c r="L18" s="14">
        <v>0.62569444444444444</v>
      </c>
      <c r="M18" s="9">
        <f t="shared" ref="M18:M21" si="6">L18-J18</f>
        <v>4.0972222222222188E-2</v>
      </c>
      <c r="N18" s="25">
        <v>93</v>
      </c>
      <c r="O18" s="26">
        <v>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 thickBot="1">
      <c r="A19" s="1"/>
      <c r="B19" s="43"/>
      <c r="C19" s="39"/>
      <c r="D19" s="40">
        <f>IF(F18="",E18,F18)</f>
        <v>0.6</v>
      </c>
      <c r="E19" s="30"/>
      <c r="F19" s="40">
        <f>IF(D20="",E20,D20)</f>
        <v>0.66597222222222219</v>
      </c>
      <c r="G19" s="30"/>
      <c r="H19" s="29">
        <f>F19-D19</f>
        <v>6.597222222222221E-2</v>
      </c>
      <c r="I19" s="30"/>
      <c r="J19" s="7">
        <v>0.63611111111111107</v>
      </c>
      <c r="K19" s="8">
        <v>0.65763888888888888</v>
      </c>
      <c r="L19" s="8">
        <v>0.68055555555555558</v>
      </c>
      <c r="M19" s="9">
        <f t="shared" si="6"/>
        <v>4.4444444444444509E-2</v>
      </c>
      <c r="N19" s="10">
        <v>93</v>
      </c>
      <c r="O19" s="27">
        <v>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"/>
      <c r="B20" s="43"/>
      <c r="C20" s="39"/>
      <c r="D20" s="7">
        <v>0.66597222222222219</v>
      </c>
      <c r="E20" s="8">
        <v>0.6875</v>
      </c>
      <c r="F20" s="8">
        <v>0.71597222222222223</v>
      </c>
      <c r="G20" s="9">
        <f t="shared" ref="G20:G24" si="7">F20-D20</f>
        <v>5.0000000000000044E-2</v>
      </c>
      <c r="H20" s="10">
        <v>93</v>
      </c>
      <c r="I20" s="27">
        <v>1</v>
      </c>
      <c r="J20" s="7">
        <v>0.6958333333333333</v>
      </c>
      <c r="K20" s="8">
        <v>0.72083333333333333</v>
      </c>
      <c r="L20" s="8">
        <v>0.75</v>
      </c>
      <c r="M20" s="9">
        <f t="shared" si="6"/>
        <v>5.4166666666666696E-2</v>
      </c>
      <c r="N20" s="10">
        <v>93</v>
      </c>
      <c r="O20" s="27">
        <v>2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 thickBot="1">
      <c r="A21" s="1"/>
      <c r="B21" s="43"/>
      <c r="C21" s="39"/>
      <c r="D21" s="7">
        <v>0.72569444444444442</v>
      </c>
      <c r="E21" s="8">
        <v>0.75069444444444444</v>
      </c>
      <c r="F21" s="8">
        <v>0.77500000000000002</v>
      </c>
      <c r="G21" s="9">
        <f t="shared" si="7"/>
        <v>4.9305555555555602E-2</v>
      </c>
      <c r="H21" s="10">
        <v>93</v>
      </c>
      <c r="I21" s="27">
        <v>1</v>
      </c>
      <c r="J21" s="7">
        <v>0.75694444444444442</v>
      </c>
      <c r="K21" s="8">
        <v>0.78263888888888888</v>
      </c>
      <c r="L21" s="8">
        <v>0.80277777777777781</v>
      </c>
      <c r="M21" s="9">
        <f t="shared" si="6"/>
        <v>4.5833333333333393E-2</v>
      </c>
      <c r="N21" s="10">
        <v>93</v>
      </c>
      <c r="O21" s="27">
        <v>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 customHeight="1" thickBot="1">
      <c r="A22" s="1"/>
      <c r="B22" s="43"/>
      <c r="C22" s="39"/>
      <c r="D22" s="7">
        <v>0.78819444444444442</v>
      </c>
      <c r="E22" s="8">
        <v>0.81180555555555556</v>
      </c>
      <c r="F22" s="8">
        <v>0.8305555555555556</v>
      </c>
      <c r="G22" s="9">
        <f t="shared" si="7"/>
        <v>4.2361111111111183E-2</v>
      </c>
      <c r="H22" s="10">
        <v>93</v>
      </c>
      <c r="I22" s="27">
        <v>1</v>
      </c>
      <c r="J22" s="40">
        <f>IF(L21="",K21,L21)</f>
        <v>0.80277777777777781</v>
      </c>
      <c r="K22" s="30"/>
      <c r="L22" s="40">
        <f>IF(J23="",K23,J23)</f>
        <v>0.87361111111111112</v>
      </c>
      <c r="M22" s="30"/>
      <c r="N22" s="29">
        <f>L22-J22</f>
        <v>7.0833333333333304E-2</v>
      </c>
      <c r="O22" s="30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 customHeight="1">
      <c r="A23" s="1"/>
      <c r="B23" s="43"/>
      <c r="C23" s="39"/>
      <c r="D23" s="7">
        <v>0.84236111111111112</v>
      </c>
      <c r="E23" s="8">
        <v>0.86319444444444449</v>
      </c>
      <c r="F23" s="8">
        <v>0.8833333333333333</v>
      </c>
      <c r="G23" s="9">
        <f t="shared" si="7"/>
        <v>4.0972222222222188E-2</v>
      </c>
      <c r="H23" s="10">
        <v>93</v>
      </c>
      <c r="I23" s="27">
        <v>1</v>
      </c>
      <c r="J23" s="7">
        <v>0.87361111111111112</v>
      </c>
      <c r="K23" s="8">
        <v>0.89444444444444449</v>
      </c>
      <c r="L23" s="8">
        <v>0.91180555555555554</v>
      </c>
      <c r="M23" s="9">
        <f t="shared" ref="M23:M24" si="8">L23-J23</f>
        <v>3.819444444444442E-2</v>
      </c>
      <c r="N23" s="10">
        <v>93</v>
      </c>
      <c r="O23" s="27">
        <v>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 customHeight="1" thickBot="1">
      <c r="A24" s="1"/>
      <c r="B24" s="43"/>
      <c r="C24" s="39"/>
      <c r="D24" s="7">
        <v>0.90208333333333335</v>
      </c>
      <c r="E24" s="8">
        <v>0.92152777777777772</v>
      </c>
      <c r="F24" s="8">
        <v>0.93888888888888888</v>
      </c>
      <c r="G24" s="9">
        <f t="shared" si="7"/>
        <v>3.6805555555555536E-2</v>
      </c>
      <c r="H24" s="10">
        <v>93</v>
      </c>
      <c r="I24" s="27">
        <v>1</v>
      </c>
      <c r="J24" s="7">
        <v>0.93055555555555558</v>
      </c>
      <c r="K24" s="8">
        <v>0.94861111111111107</v>
      </c>
      <c r="L24" s="8">
        <v>0.96527777777777779</v>
      </c>
      <c r="M24" s="9">
        <f t="shared" si="8"/>
        <v>3.472222222222221E-2</v>
      </c>
      <c r="N24" s="10">
        <v>93</v>
      </c>
      <c r="O24" s="27">
        <v>2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 thickBot="1">
      <c r="A25" s="18"/>
      <c r="B25" s="43"/>
      <c r="C25" s="35"/>
      <c r="D25" s="31" t="s">
        <v>19</v>
      </c>
      <c r="E25" s="32"/>
      <c r="F25" s="32"/>
      <c r="G25" s="32"/>
      <c r="H25" s="32"/>
      <c r="I25" s="30"/>
      <c r="J25" s="31" t="s">
        <v>19</v>
      </c>
      <c r="K25" s="32"/>
      <c r="L25" s="32"/>
      <c r="M25" s="32"/>
      <c r="N25" s="32"/>
      <c r="O25" s="30"/>
      <c r="P25" s="19"/>
      <c r="Q25" s="19"/>
      <c r="R25" s="19"/>
      <c r="S25" s="19"/>
      <c r="T25" s="1"/>
      <c r="U25" s="19"/>
      <c r="V25" s="19"/>
      <c r="W25" s="19"/>
      <c r="X25" s="19"/>
      <c r="Y25" s="19"/>
      <c r="Z25" s="19"/>
    </row>
    <row r="26" spans="1:26" ht="24" customHeight="1" thickBot="1">
      <c r="A26" s="1"/>
      <c r="B26" s="44"/>
      <c r="C26" s="20" t="s">
        <v>15</v>
      </c>
      <c r="D26" s="33">
        <f>MAX(E18:F24)-IF(D18="",E18,D18)-MIN(H18:H24)+$C15</f>
        <v>0.33194444444444443</v>
      </c>
      <c r="E26" s="32"/>
      <c r="F26" s="32"/>
      <c r="G26" s="30"/>
      <c r="H26" s="34">
        <f ca="1">OFFSET(H17,MATCH(MIN(H18:H24),H18:H24,0),-4)-IF(D18="",E18,D18)</f>
        <v>4.513888888888884E-2</v>
      </c>
      <c r="I26" s="35"/>
      <c r="J26" s="33">
        <f>MAX(K18:L24)-IF(J18="",K18,J18)-MIN(N18:N24)+$C15</f>
        <v>0.32361111111111113</v>
      </c>
      <c r="K26" s="32"/>
      <c r="L26" s="32"/>
      <c r="M26" s="30"/>
      <c r="N26" s="34">
        <f ca="1">OFFSET(N17,MATCH(MIN(N18:N24),N18:N24,0),-4)-IF(J18="",K18,J18)</f>
        <v>0.21805555555555556</v>
      </c>
      <c r="O26" s="3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 customHeight="1">
      <c r="A29" s="1"/>
      <c r="B29" s="1"/>
      <c r="C29" s="1"/>
      <c r="D29" s="28"/>
      <c r="E29" s="28"/>
      <c r="F29" s="28"/>
      <c r="G29" s="28"/>
      <c r="H29" s="28"/>
      <c r="I29" s="28"/>
      <c r="J29" s="28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 customHeight="1">
      <c r="A31" s="1"/>
      <c r="T31" s="1"/>
      <c r="U31" s="1"/>
      <c r="V31" s="1"/>
      <c r="W31" s="1"/>
      <c r="X31" s="1"/>
      <c r="Y31" s="1"/>
      <c r="Z31" s="1"/>
    </row>
    <row r="32" spans="1:26" ht="24" customHeight="1">
      <c r="A32" s="1"/>
      <c r="T32" s="1"/>
      <c r="U32" s="1"/>
      <c r="V32" s="1"/>
      <c r="W32" s="1"/>
      <c r="X32" s="1"/>
      <c r="Y32" s="1"/>
      <c r="Z32" s="1"/>
    </row>
    <row r="33" spans="1:26" ht="24" customHeight="1">
      <c r="A33" s="1"/>
      <c r="T33" s="1"/>
      <c r="U33" s="1"/>
      <c r="V33" s="1"/>
      <c r="W33" s="1"/>
      <c r="X33" s="1"/>
      <c r="Y33" s="1"/>
      <c r="Z33" s="1"/>
    </row>
    <row r="34" spans="1:26" ht="24" customHeight="1">
      <c r="A34" s="1"/>
      <c r="T34" s="1"/>
      <c r="U34" s="1"/>
      <c r="V34" s="1"/>
      <c r="W34" s="1"/>
      <c r="X34" s="1"/>
      <c r="Y34" s="1"/>
      <c r="Z34" s="1"/>
    </row>
    <row r="35" spans="1:26" ht="24" customHeight="1">
      <c r="A35" s="1"/>
      <c r="T35" s="1"/>
      <c r="U35" s="1"/>
      <c r="V35" s="1"/>
      <c r="W35" s="1"/>
      <c r="X35" s="1"/>
      <c r="Y35" s="1"/>
      <c r="Z35" s="1"/>
    </row>
    <row r="36" spans="1:26" ht="24" customHeight="1">
      <c r="A36" s="1"/>
      <c r="T36" s="1"/>
      <c r="U36" s="1"/>
      <c r="V36" s="1"/>
      <c r="W36" s="1"/>
      <c r="X36" s="1"/>
      <c r="Y36" s="1"/>
      <c r="Z36" s="1"/>
    </row>
    <row r="37" spans="1:26" ht="24" customHeight="1">
      <c r="A37" s="1"/>
      <c r="T37" s="1"/>
      <c r="U37" s="1"/>
      <c r="V37" s="1"/>
      <c r="W37" s="1"/>
      <c r="X37" s="1"/>
      <c r="Y37" s="1"/>
      <c r="Z37" s="1"/>
    </row>
    <row r="38" spans="1:26" ht="24" customHeight="1">
      <c r="A38" s="1"/>
      <c r="T38" s="1"/>
      <c r="U38" s="1"/>
      <c r="V38" s="1"/>
      <c r="W38" s="1"/>
      <c r="X38" s="1"/>
      <c r="Y38" s="1"/>
      <c r="Z38" s="1"/>
    </row>
    <row r="39" spans="1:26" ht="24" customHeight="1">
      <c r="A39" s="1"/>
      <c r="T39" s="1"/>
      <c r="U39" s="1"/>
      <c r="V39" s="1"/>
      <c r="W39" s="1"/>
      <c r="X39" s="1"/>
      <c r="Y39" s="1"/>
      <c r="Z39" s="1"/>
    </row>
    <row r="40" spans="1:26" ht="24" customHeight="1">
      <c r="A40" s="1"/>
      <c r="T40" s="1"/>
      <c r="U40" s="1"/>
      <c r="V40" s="1"/>
      <c r="W40" s="1"/>
      <c r="X40" s="1"/>
      <c r="Y40" s="1"/>
      <c r="Z40" s="1"/>
    </row>
    <row r="41" spans="1:26" ht="24" customHeight="1">
      <c r="A41" s="1"/>
      <c r="T41" s="1"/>
      <c r="U41" s="1"/>
      <c r="V41" s="1"/>
      <c r="W41" s="1"/>
      <c r="X41" s="1"/>
      <c r="Y41" s="1"/>
      <c r="Z41" s="1"/>
    </row>
    <row r="42" spans="1:26" ht="24" customHeight="1">
      <c r="A42" s="1"/>
      <c r="T42" s="1"/>
      <c r="U42" s="1"/>
      <c r="V42" s="1"/>
      <c r="W42" s="1"/>
      <c r="X42" s="1"/>
      <c r="Y42" s="1"/>
      <c r="Z42" s="1"/>
    </row>
    <row r="43" spans="1:26" ht="24" customHeight="1">
      <c r="A43" s="1"/>
      <c r="T43" s="1"/>
      <c r="U43" s="1"/>
      <c r="V43" s="1"/>
      <c r="W43" s="1"/>
      <c r="X43" s="1"/>
      <c r="Y43" s="1"/>
      <c r="Z43" s="1"/>
    </row>
    <row r="44" spans="1:26" ht="24" customHeight="1">
      <c r="A44" s="1"/>
      <c r="T44" s="1"/>
      <c r="U44" s="1"/>
      <c r="V44" s="1"/>
      <c r="W44" s="1"/>
      <c r="X44" s="1"/>
      <c r="Y44" s="1"/>
      <c r="Z44" s="1"/>
    </row>
    <row r="45" spans="1:26" ht="24" customHeight="1">
      <c r="A45" s="1"/>
      <c r="T45" s="1"/>
      <c r="U45" s="1"/>
      <c r="V45" s="1"/>
      <c r="W45" s="1"/>
      <c r="X45" s="1"/>
      <c r="Y45" s="1"/>
      <c r="Z45" s="1"/>
    </row>
    <row r="46" spans="1:26" ht="24" customHeight="1">
      <c r="A46" s="1"/>
      <c r="T46" s="1"/>
      <c r="U46" s="1"/>
      <c r="V46" s="1"/>
      <c r="W46" s="1"/>
      <c r="X46" s="1"/>
      <c r="Y46" s="1"/>
      <c r="Z46" s="1"/>
    </row>
    <row r="47" spans="1:26" ht="24" customHeight="1">
      <c r="A47" s="1"/>
      <c r="T47" s="1"/>
      <c r="U47" s="1"/>
      <c r="V47" s="1"/>
      <c r="W47" s="1"/>
      <c r="X47" s="1"/>
      <c r="Y47" s="1"/>
      <c r="Z47" s="1"/>
    </row>
    <row r="48" spans="1:26" ht="24" customHeight="1">
      <c r="A48" s="1"/>
      <c r="T48" s="1"/>
      <c r="U48" s="1"/>
      <c r="V48" s="1"/>
      <c r="W48" s="1"/>
      <c r="X48" s="1"/>
      <c r="Y48" s="1"/>
      <c r="Z48" s="1"/>
    </row>
    <row r="49" spans="1:26" ht="24" customHeight="1">
      <c r="A49" s="1"/>
      <c r="T49" s="1"/>
      <c r="U49" s="1"/>
      <c r="V49" s="1"/>
      <c r="W49" s="1"/>
      <c r="X49" s="1"/>
      <c r="Y49" s="1"/>
      <c r="Z49" s="1"/>
    </row>
    <row r="50" spans="1:26" ht="24" customHeight="1">
      <c r="A50" s="1"/>
      <c r="T50" s="1"/>
      <c r="U50" s="1"/>
      <c r="V50" s="1"/>
      <c r="W50" s="1"/>
      <c r="X50" s="1"/>
      <c r="Y50" s="1"/>
      <c r="Z50" s="1"/>
    </row>
    <row r="51" spans="1:26" ht="24" customHeight="1">
      <c r="A51" s="1"/>
      <c r="T51" s="1"/>
      <c r="U51" s="1"/>
      <c r="V51" s="1"/>
      <c r="W51" s="1"/>
      <c r="X51" s="1"/>
      <c r="Y51" s="1"/>
      <c r="Z51" s="1"/>
    </row>
    <row r="52" spans="1:26" ht="24" customHeight="1">
      <c r="A52" s="1"/>
      <c r="T52" s="1"/>
      <c r="U52" s="1"/>
      <c r="V52" s="1"/>
      <c r="W52" s="1"/>
      <c r="X52" s="1"/>
      <c r="Y52" s="1"/>
      <c r="Z52" s="1"/>
    </row>
    <row r="53" spans="1:26" ht="24" customHeight="1">
      <c r="A53" s="1"/>
      <c r="T53" s="1"/>
      <c r="U53" s="1"/>
      <c r="V53" s="1"/>
      <c r="W53" s="1"/>
      <c r="X53" s="1"/>
      <c r="Y53" s="1"/>
      <c r="Z53" s="1"/>
    </row>
    <row r="54" spans="1:26" ht="24" customHeight="1">
      <c r="A54" s="1"/>
      <c r="T54" s="1"/>
      <c r="U54" s="1"/>
      <c r="V54" s="1"/>
      <c r="W54" s="1"/>
      <c r="X54" s="1"/>
      <c r="Y54" s="1"/>
      <c r="Z54" s="1"/>
    </row>
    <row r="55" spans="1:26" ht="24" customHeight="1">
      <c r="A55" s="1"/>
      <c r="T55" s="1"/>
      <c r="U55" s="1"/>
      <c r="V55" s="1"/>
      <c r="W55" s="1"/>
      <c r="X55" s="1"/>
      <c r="Y55" s="1"/>
      <c r="Z55" s="1"/>
    </row>
    <row r="56" spans="1:26" ht="24" customHeight="1">
      <c r="A56" s="1"/>
      <c r="T56" s="1"/>
      <c r="U56" s="1"/>
      <c r="V56" s="1"/>
      <c r="W56" s="1"/>
      <c r="X56" s="1"/>
      <c r="Y56" s="1"/>
      <c r="Z56" s="1"/>
    </row>
    <row r="57" spans="1:26" ht="24" customHeight="1">
      <c r="A57" s="1"/>
      <c r="T57" s="1"/>
      <c r="U57" s="1"/>
      <c r="V57" s="1"/>
      <c r="W57" s="1"/>
      <c r="X57" s="1"/>
      <c r="Y57" s="1"/>
      <c r="Z57" s="1"/>
    </row>
    <row r="58" spans="1:26" ht="24" customHeight="1">
      <c r="A58" s="1"/>
      <c r="T58" s="1"/>
      <c r="U58" s="1"/>
      <c r="V58" s="1"/>
      <c r="W58" s="1"/>
      <c r="X58" s="1"/>
      <c r="Y58" s="1"/>
      <c r="Z58" s="1"/>
    </row>
    <row r="59" spans="1:26" ht="24" customHeight="1">
      <c r="A59" s="1"/>
      <c r="T59" s="1"/>
      <c r="U59" s="1"/>
      <c r="V59" s="1"/>
      <c r="W59" s="1"/>
      <c r="X59" s="1"/>
      <c r="Y59" s="1"/>
      <c r="Z59" s="1"/>
    </row>
    <row r="60" spans="1:26" ht="24" customHeight="1">
      <c r="A60" s="1"/>
      <c r="T60" s="1"/>
      <c r="U60" s="1"/>
      <c r="V60" s="1"/>
      <c r="W60" s="1"/>
      <c r="X60" s="1"/>
      <c r="Y60" s="1"/>
      <c r="Z60" s="1"/>
    </row>
    <row r="61" spans="1:26" ht="24" customHeight="1">
      <c r="A61" s="1"/>
      <c r="T61" s="1"/>
      <c r="U61" s="1"/>
      <c r="V61" s="1"/>
      <c r="W61" s="1"/>
      <c r="X61" s="1"/>
      <c r="Y61" s="1"/>
      <c r="Z61" s="1"/>
    </row>
    <row r="62" spans="1:26" ht="24" customHeight="1">
      <c r="A62" s="1"/>
      <c r="T62" s="1"/>
      <c r="U62" s="1"/>
      <c r="V62" s="1"/>
      <c r="W62" s="1"/>
      <c r="X62" s="1"/>
      <c r="Y62" s="1"/>
      <c r="Z62" s="1"/>
    </row>
    <row r="63" spans="1:26" ht="24" customHeight="1">
      <c r="A63" s="1"/>
      <c r="T63" s="1"/>
      <c r="U63" s="1"/>
      <c r="V63" s="1"/>
      <c r="W63" s="1"/>
      <c r="X63" s="1"/>
      <c r="Y63" s="1"/>
      <c r="Z63" s="1"/>
    </row>
    <row r="64" spans="1:26" ht="24" customHeight="1">
      <c r="A64" s="1"/>
      <c r="T64" s="1"/>
      <c r="U64" s="1"/>
      <c r="V64" s="1"/>
      <c r="W64" s="1"/>
      <c r="X64" s="1"/>
      <c r="Y64" s="1"/>
      <c r="Z64" s="1"/>
    </row>
    <row r="65" spans="1:26" ht="24" customHeight="1">
      <c r="A65" s="1"/>
      <c r="T65" s="1"/>
      <c r="U65" s="1"/>
      <c r="V65" s="1"/>
      <c r="W65" s="1"/>
      <c r="X65" s="1"/>
      <c r="Y65" s="1"/>
      <c r="Z65" s="1"/>
    </row>
    <row r="66" spans="1:26" ht="24" customHeight="1">
      <c r="A66" s="1"/>
      <c r="T66" s="1"/>
      <c r="U66" s="1"/>
      <c r="V66" s="1"/>
      <c r="W66" s="1"/>
      <c r="X66" s="1"/>
      <c r="Y66" s="1"/>
      <c r="Z66" s="1"/>
    </row>
    <row r="67" spans="1:26" ht="24" customHeight="1">
      <c r="A67" s="1"/>
      <c r="T67" s="1"/>
      <c r="U67" s="1"/>
      <c r="V67" s="1"/>
      <c r="W67" s="1"/>
      <c r="X67" s="1"/>
      <c r="Y67" s="1"/>
      <c r="Z67" s="1"/>
    </row>
    <row r="68" spans="1:26" ht="24" customHeight="1">
      <c r="A68" s="1"/>
      <c r="T68" s="1"/>
      <c r="U68" s="1"/>
      <c r="V68" s="1"/>
      <c r="W68" s="1"/>
      <c r="X68" s="1"/>
      <c r="Y68" s="1"/>
      <c r="Z68" s="1"/>
    </row>
    <row r="69" spans="1:26" ht="24" customHeight="1">
      <c r="A69" s="1"/>
      <c r="T69" s="1"/>
      <c r="U69" s="1"/>
      <c r="V69" s="1"/>
      <c r="W69" s="1"/>
      <c r="X69" s="1"/>
      <c r="Y69" s="1"/>
      <c r="Z69" s="1"/>
    </row>
    <row r="70" spans="1:26" ht="24" customHeight="1">
      <c r="A70" s="1"/>
      <c r="T70" s="1"/>
      <c r="U70" s="1"/>
      <c r="V70" s="1"/>
      <c r="W70" s="1"/>
      <c r="X70" s="1"/>
      <c r="Y70" s="1"/>
      <c r="Z70" s="1"/>
    </row>
    <row r="71" spans="1:26" ht="24" customHeight="1">
      <c r="A71" s="1"/>
      <c r="T71" s="1"/>
      <c r="U71" s="1"/>
      <c r="V71" s="1"/>
      <c r="W71" s="1"/>
      <c r="X71" s="1"/>
      <c r="Y71" s="1"/>
      <c r="Z71" s="1"/>
    </row>
    <row r="72" spans="1:26" ht="24" customHeight="1">
      <c r="A72" s="1"/>
      <c r="T72" s="1"/>
      <c r="U72" s="1"/>
      <c r="V72" s="1"/>
      <c r="W72" s="1"/>
      <c r="X72" s="1"/>
      <c r="Y72" s="1"/>
      <c r="Z72" s="1"/>
    </row>
    <row r="73" spans="1:26" ht="24" customHeight="1">
      <c r="A73" s="1"/>
      <c r="T73" s="1"/>
      <c r="U73" s="1"/>
      <c r="V73" s="1"/>
      <c r="W73" s="1"/>
      <c r="X73" s="1"/>
      <c r="Y73" s="1"/>
      <c r="Z73" s="1"/>
    </row>
    <row r="74" spans="1:26" ht="24" customHeight="1">
      <c r="A74" s="1"/>
      <c r="T74" s="1"/>
      <c r="U74" s="1"/>
      <c r="V74" s="1"/>
      <c r="W74" s="1"/>
      <c r="X74" s="1"/>
      <c r="Y74" s="1"/>
      <c r="Z74" s="1"/>
    </row>
    <row r="75" spans="1:26" ht="24" customHeight="1">
      <c r="A75" s="1"/>
      <c r="T75" s="1"/>
      <c r="U75" s="1"/>
      <c r="V75" s="1"/>
      <c r="W75" s="1"/>
      <c r="X75" s="1"/>
      <c r="Y75" s="1"/>
      <c r="Z75" s="1"/>
    </row>
    <row r="76" spans="1:26" ht="24" customHeight="1">
      <c r="A76" s="1"/>
      <c r="T76" s="1"/>
      <c r="U76" s="1"/>
      <c r="V76" s="1"/>
      <c r="W76" s="1"/>
      <c r="X76" s="1"/>
      <c r="Y76" s="1"/>
      <c r="Z76" s="1"/>
    </row>
    <row r="77" spans="1:26" ht="24" customHeight="1">
      <c r="A77" s="1"/>
      <c r="T77" s="1"/>
      <c r="U77" s="1"/>
      <c r="V77" s="1"/>
      <c r="W77" s="1"/>
      <c r="X77" s="1"/>
      <c r="Y77" s="1"/>
      <c r="Z77" s="1"/>
    </row>
    <row r="78" spans="1:26" ht="24" customHeight="1">
      <c r="A78" s="1"/>
      <c r="T78" s="1"/>
      <c r="U78" s="1"/>
      <c r="V78" s="1"/>
      <c r="W78" s="1"/>
      <c r="X78" s="1"/>
      <c r="Y78" s="1"/>
      <c r="Z78" s="1"/>
    </row>
    <row r="79" spans="1:26" ht="24" customHeight="1">
      <c r="A79" s="1"/>
      <c r="T79" s="1"/>
      <c r="U79" s="1"/>
      <c r="V79" s="1"/>
      <c r="W79" s="1"/>
      <c r="X79" s="1"/>
      <c r="Y79" s="1"/>
      <c r="Z79" s="1"/>
    </row>
    <row r="80" spans="1:26" ht="24" customHeight="1">
      <c r="A80" s="1"/>
      <c r="T80" s="1"/>
      <c r="U80" s="1"/>
      <c r="V80" s="1"/>
      <c r="W80" s="1"/>
      <c r="X80" s="1"/>
      <c r="Y80" s="1"/>
      <c r="Z80" s="1"/>
    </row>
    <row r="81" spans="1:26" ht="24" customHeight="1">
      <c r="A81" s="1"/>
      <c r="T81" s="1"/>
      <c r="U81" s="1"/>
      <c r="V81" s="1"/>
      <c r="W81" s="1"/>
      <c r="X81" s="1"/>
      <c r="Y81" s="1"/>
      <c r="Z81" s="1"/>
    </row>
    <row r="82" spans="1:26" ht="24" customHeight="1">
      <c r="A82" s="1"/>
      <c r="T82" s="1"/>
      <c r="U82" s="1"/>
      <c r="V82" s="1"/>
      <c r="W82" s="1"/>
      <c r="X82" s="1"/>
      <c r="Y82" s="1"/>
      <c r="Z82" s="1"/>
    </row>
    <row r="83" spans="1:26" ht="24" customHeight="1">
      <c r="A83" s="1"/>
      <c r="T83" s="1"/>
      <c r="U83" s="1"/>
      <c r="V83" s="1"/>
      <c r="W83" s="1"/>
      <c r="X83" s="1"/>
      <c r="Y83" s="1"/>
      <c r="Z83" s="1"/>
    </row>
    <row r="84" spans="1:26" ht="24" customHeight="1">
      <c r="A84" s="1"/>
      <c r="T84" s="1"/>
      <c r="U84" s="1"/>
      <c r="V84" s="1"/>
      <c r="W84" s="1"/>
      <c r="X84" s="1"/>
      <c r="Y84" s="1"/>
      <c r="Z84" s="1"/>
    </row>
    <row r="85" spans="1:26" ht="24" customHeight="1">
      <c r="A85" s="1"/>
      <c r="T85" s="1"/>
      <c r="U85" s="1"/>
      <c r="V85" s="1"/>
      <c r="W85" s="1"/>
      <c r="X85" s="1"/>
      <c r="Y85" s="1"/>
      <c r="Z85" s="1"/>
    </row>
    <row r="86" spans="1:26" ht="24" customHeight="1">
      <c r="A86" s="1"/>
      <c r="T86" s="1"/>
      <c r="U86" s="1"/>
      <c r="V86" s="1"/>
      <c r="W86" s="1"/>
      <c r="X86" s="1"/>
      <c r="Y86" s="1"/>
      <c r="Z86" s="1"/>
    </row>
    <row r="87" spans="1:26" ht="24" customHeight="1">
      <c r="A87" s="1"/>
      <c r="T87" s="1"/>
      <c r="U87" s="1"/>
      <c r="V87" s="1"/>
      <c r="W87" s="1"/>
      <c r="X87" s="1"/>
      <c r="Y87" s="1"/>
      <c r="Z87" s="1"/>
    </row>
    <row r="88" spans="1:26" ht="24" customHeight="1">
      <c r="A88" s="1"/>
      <c r="T88" s="1"/>
      <c r="U88" s="1"/>
      <c r="V88" s="1"/>
      <c r="W88" s="1"/>
      <c r="X88" s="1"/>
      <c r="Y88" s="1"/>
      <c r="Z88" s="1"/>
    </row>
    <row r="89" spans="1:26" ht="24" customHeight="1">
      <c r="A89" s="1"/>
      <c r="T89" s="1"/>
      <c r="U89" s="1"/>
      <c r="V89" s="1"/>
      <c r="W89" s="1"/>
      <c r="X89" s="1"/>
      <c r="Y89" s="1"/>
      <c r="Z89" s="1"/>
    </row>
    <row r="90" spans="1:26" ht="24" customHeight="1">
      <c r="A90" s="1"/>
      <c r="T90" s="1"/>
      <c r="U90" s="1"/>
      <c r="V90" s="1"/>
      <c r="W90" s="1"/>
      <c r="X90" s="1"/>
      <c r="Y90" s="1"/>
      <c r="Z90" s="1"/>
    </row>
    <row r="91" spans="1:26" ht="24" customHeight="1">
      <c r="A91" s="1"/>
      <c r="T91" s="1"/>
      <c r="U91" s="1"/>
      <c r="V91" s="1"/>
      <c r="W91" s="1"/>
      <c r="X91" s="1"/>
      <c r="Y91" s="1"/>
      <c r="Z91" s="1"/>
    </row>
    <row r="92" spans="1:26" ht="24" customHeight="1">
      <c r="A92" s="1"/>
      <c r="T92" s="1"/>
      <c r="U92" s="1"/>
      <c r="V92" s="1"/>
      <c r="W92" s="1"/>
      <c r="X92" s="1"/>
      <c r="Y92" s="1"/>
      <c r="Z92" s="1"/>
    </row>
    <row r="93" spans="1:26" ht="24" customHeight="1">
      <c r="A93" s="1"/>
      <c r="T93" s="1"/>
      <c r="U93" s="1"/>
      <c r="V93" s="1"/>
      <c r="W93" s="1"/>
      <c r="X93" s="1"/>
      <c r="Y93" s="1"/>
      <c r="Z93" s="1"/>
    </row>
    <row r="94" spans="1:26" ht="24" customHeight="1">
      <c r="A94" s="1"/>
      <c r="T94" s="1"/>
      <c r="U94" s="1"/>
      <c r="V94" s="1"/>
      <c r="W94" s="1"/>
      <c r="X94" s="1"/>
      <c r="Y94" s="1"/>
      <c r="Z94" s="1"/>
    </row>
    <row r="95" spans="1:26" ht="24" customHeight="1">
      <c r="A95" s="1"/>
      <c r="T95" s="1"/>
      <c r="U95" s="1"/>
      <c r="V95" s="1"/>
      <c r="W95" s="1"/>
      <c r="X95" s="1"/>
      <c r="Y95" s="1"/>
      <c r="Z95" s="1"/>
    </row>
    <row r="96" spans="1:26" ht="24" customHeight="1">
      <c r="A96" s="1"/>
      <c r="T96" s="1"/>
      <c r="U96" s="1"/>
      <c r="V96" s="1"/>
      <c r="W96" s="1"/>
      <c r="X96" s="1"/>
      <c r="Y96" s="1"/>
      <c r="Z96" s="1"/>
    </row>
    <row r="97" spans="1:26" ht="24" customHeight="1">
      <c r="A97" s="1"/>
      <c r="T97" s="1"/>
      <c r="U97" s="1"/>
      <c r="V97" s="1"/>
      <c r="W97" s="1"/>
      <c r="X97" s="1"/>
      <c r="Y97" s="1"/>
      <c r="Z97" s="1"/>
    </row>
    <row r="98" spans="1:26" ht="24" customHeight="1">
      <c r="A98" s="1"/>
      <c r="T98" s="1"/>
      <c r="U98" s="1"/>
      <c r="V98" s="1"/>
      <c r="W98" s="1"/>
      <c r="X98" s="1"/>
      <c r="Y98" s="1"/>
      <c r="Z98" s="1"/>
    </row>
    <row r="99" spans="1:26" ht="24" customHeight="1">
      <c r="A99" s="1"/>
      <c r="T99" s="1"/>
      <c r="U99" s="1"/>
      <c r="V99" s="1"/>
      <c r="W99" s="1"/>
      <c r="X99" s="1"/>
      <c r="Y99" s="1"/>
      <c r="Z99" s="1"/>
    </row>
    <row r="100" spans="1:26" ht="24" customHeight="1">
      <c r="A100" s="1"/>
      <c r="T100" s="1"/>
      <c r="U100" s="1"/>
      <c r="V100" s="1"/>
      <c r="W100" s="1"/>
      <c r="X100" s="1"/>
      <c r="Y100" s="1"/>
      <c r="Z100" s="1"/>
    </row>
    <row r="101" spans="1:26" ht="24" customHeight="1">
      <c r="A101" s="1"/>
      <c r="T101" s="1"/>
      <c r="U101" s="1"/>
      <c r="V101" s="1"/>
      <c r="W101" s="1"/>
      <c r="X101" s="1"/>
      <c r="Y101" s="1"/>
      <c r="Z101" s="1"/>
    </row>
    <row r="102" spans="1:26" ht="24" customHeight="1">
      <c r="A102" s="1"/>
      <c r="T102" s="1"/>
      <c r="U102" s="1"/>
      <c r="V102" s="1"/>
      <c r="W102" s="1"/>
      <c r="X102" s="1"/>
      <c r="Y102" s="1"/>
      <c r="Z102" s="1"/>
    </row>
    <row r="103" spans="1:26" ht="24" customHeight="1">
      <c r="A103" s="1"/>
      <c r="T103" s="1"/>
      <c r="U103" s="1"/>
      <c r="V103" s="1"/>
      <c r="W103" s="1"/>
      <c r="X103" s="1"/>
      <c r="Y103" s="1"/>
      <c r="Z103" s="1"/>
    </row>
    <row r="104" spans="1:26" ht="24" customHeight="1">
      <c r="A104" s="1"/>
      <c r="T104" s="1"/>
      <c r="U104" s="1"/>
      <c r="V104" s="1"/>
      <c r="W104" s="1"/>
      <c r="X104" s="1"/>
      <c r="Y104" s="1"/>
      <c r="Z104" s="1"/>
    </row>
    <row r="105" spans="1:26" ht="24" customHeight="1">
      <c r="A105" s="1"/>
      <c r="T105" s="1"/>
      <c r="U105" s="1"/>
      <c r="V105" s="1"/>
      <c r="W105" s="1"/>
      <c r="X105" s="1"/>
      <c r="Y105" s="1"/>
      <c r="Z105" s="1"/>
    </row>
    <row r="106" spans="1:26" ht="24" customHeight="1">
      <c r="A106" s="1"/>
      <c r="T106" s="1"/>
      <c r="U106" s="1"/>
      <c r="V106" s="1"/>
      <c r="W106" s="1"/>
      <c r="X106" s="1"/>
      <c r="Y106" s="1"/>
      <c r="Z106" s="1"/>
    </row>
    <row r="107" spans="1:26" ht="24" customHeight="1">
      <c r="A107" s="1"/>
      <c r="T107" s="1"/>
      <c r="U107" s="1"/>
      <c r="V107" s="1"/>
      <c r="W107" s="1"/>
      <c r="X107" s="1"/>
      <c r="Y107" s="1"/>
      <c r="Z107" s="1"/>
    </row>
    <row r="108" spans="1:26" ht="24" customHeight="1">
      <c r="A108" s="1"/>
      <c r="T108" s="1"/>
      <c r="U108" s="1"/>
      <c r="V108" s="1"/>
      <c r="W108" s="1"/>
      <c r="X108" s="1"/>
      <c r="Y108" s="1"/>
      <c r="Z108" s="1"/>
    </row>
    <row r="109" spans="1:26" ht="24" customHeight="1">
      <c r="A109" s="1"/>
      <c r="T109" s="1"/>
      <c r="U109" s="1"/>
      <c r="V109" s="1"/>
      <c r="W109" s="1"/>
      <c r="X109" s="1"/>
      <c r="Y109" s="1"/>
      <c r="Z109" s="1"/>
    </row>
    <row r="110" spans="1:26" ht="24" customHeight="1">
      <c r="A110" s="1"/>
      <c r="T110" s="1"/>
      <c r="U110" s="1"/>
      <c r="V110" s="1"/>
      <c r="W110" s="1"/>
      <c r="X110" s="1"/>
      <c r="Y110" s="1"/>
      <c r="Z110" s="1"/>
    </row>
    <row r="111" spans="1:26" ht="24" customHeight="1">
      <c r="A111" s="1"/>
      <c r="T111" s="1"/>
      <c r="U111" s="1"/>
      <c r="V111" s="1"/>
      <c r="W111" s="1"/>
      <c r="X111" s="1"/>
      <c r="Y111" s="1"/>
      <c r="Z111" s="1"/>
    </row>
    <row r="112" spans="1:26" ht="24" customHeight="1">
      <c r="A112" s="1"/>
      <c r="T112" s="1"/>
      <c r="U112" s="1"/>
      <c r="V112" s="1"/>
      <c r="W112" s="1"/>
      <c r="X112" s="1"/>
      <c r="Y112" s="1"/>
      <c r="Z112" s="1"/>
    </row>
    <row r="113" spans="1:26" ht="24" customHeight="1">
      <c r="A113" s="1"/>
      <c r="T113" s="1"/>
      <c r="U113" s="1"/>
      <c r="V113" s="1"/>
      <c r="W113" s="1"/>
      <c r="X113" s="1"/>
      <c r="Y113" s="1"/>
      <c r="Z113" s="1"/>
    </row>
    <row r="114" spans="1:26" ht="24" customHeight="1">
      <c r="A114" s="1"/>
      <c r="T114" s="1"/>
      <c r="U114" s="1"/>
      <c r="V114" s="1"/>
      <c r="W114" s="1"/>
      <c r="X114" s="1"/>
      <c r="Y114" s="1"/>
      <c r="Z114" s="1"/>
    </row>
    <row r="115" spans="1:26" ht="24" customHeight="1">
      <c r="A115" s="1"/>
      <c r="T115" s="1"/>
      <c r="U115" s="1"/>
      <c r="V115" s="1"/>
      <c r="W115" s="1"/>
      <c r="X115" s="1"/>
      <c r="Y115" s="1"/>
      <c r="Z115" s="1"/>
    </row>
    <row r="116" spans="1:26" ht="24" customHeight="1">
      <c r="A116" s="1"/>
      <c r="T116" s="1"/>
      <c r="U116" s="1"/>
      <c r="V116" s="1"/>
      <c r="W116" s="1"/>
      <c r="X116" s="1"/>
      <c r="Y116" s="1"/>
      <c r="Z116" s="1"/>
    </row>
    <row r="117" spans="1:26" ht="24" customHeight="1">
      <c r="A117" s="1"/>
      <c r="T117" s="1"/>
      <c r="U117" s="1"/>
      <c r="V117" s="1"/>
      <c r="W117" s="1"/>
      <c r="X117" s="1"/>
      <c r="Y117" s="1"/>
      <c r="Z117" s="1"/>
    </row>
    <row r="118" spans="1:26" ht="24" customHeight="1">
      <c r="A118" s="1"/>
      <c r="T118" s="1"/>
      <c r="U118" s="1"/>
      <c r="V118" s="1"/>
      <c r="W118" s="1"/>
      <c r="X118" s="1"/>
      <c r="Y118" s="1"/>
      <c r="Z118" s="1"/>
    </row>
    <row r="119" spans="1:26" ht="24" customHeight="1">
      <c r="A119" s="1"/>
      <c r="T119" s="1"/>
      <c r="U119" s="1"/>
      <c r="V119" s="1"/>
      <c r="W119" s="1"/>
      <c r="X119" s="1"/>
      <c r="Y119" s="1"/>
      <c r="Z119" s="1"/>
    </row>
    <row r="120" spans="1:26" ht="24" customHeight="1">
      <c r="A120" s="1"/>
      <c r="T120" s="1"/>
      <c r="U120" s="1"/>
      <c r="V120" s="1"/>
      <c r="W120" s="1"/>
      <c r="X120" s="1"/>
      <c r="Y120" s="1"/>
      <c r="Z120" s="1"/>
    </row>
    <row r="121" spans="1:26" ht="24" customHeight="1">
      <c r="A121" s="1"/>
      <c r="T121" s="1"/>
      <c r="U121" s="1"/>
      <c r="V121" s="1"/>
      <c r="W121" s="1"/>
      <c r="X121" s="1"/>
      <c r="Y121" s="1"/>
      <c r="Z121" s="1"/>
    </row>
    <row r="122" spans="1:26" ht="24" customHeight="1">
      <c r="A122" s="1"/>
      <c r="T122" s="1"/>
      <c r="U122" s="1"/>
      <c r="V122" s="1"/>
      <c r="W122" s="1"/>
      <c r="X122" s="1"/>
      <c r="Y122" s="1"/>
      <c r="Z122" s="1"/>
    </row>
    <row r="123" spans="1:26" ht="24" customHeight="1">
      <c r="A123" s="1"/>
      <c r="T123" s="1"/>
      <c r="U123" s="1"/>
      <c r="V123" s="1"/>
      <c r="W123" s="1"/>
      <c r="X123" s="1"/>
      <c r="Y123" s="1"/>
      <c r="Z123" s="1"/>
    </row>
    <row r="124" spans="1:26" ht="24" customHeight="1">
      <c r="A124" s="1"/>
      <c r="T124" s="1"/>
      <c r="U124" s="1"/>
      <c r="V124" s="1"/>
      <c r="W124" s="1"/>
      <c r="X124" s="1"/>
      <c r="Y124" s="1"/>
      <c r="Z124" s="1"/>
    </row>
    <row r="125" spans="1:26" ht="24" customHeight="1">
      <c r="A125" s="1"/>
      <c r="T125" s="1"/>
      <c r="U125" s="1"/>
      <c r="V125" s="1"/>
      <c r="W125" s="1"/>
      <c r="X125" s="1"/>
      <c r="Y125" s="1"/>
      <c r="Z125" s="1"/>
    </row>
    <row r="126" spans="1:26" ht="24" customHeight="1">
      <c r="A126" s="1"/>
      <c r="T126" s="1"/>
      <c r="U126" s="1"/>
      <c r="V126" s="1"/>
      <c r="W126" s="1"/>
      <c r="X126" s="1"/>
      <c r="Y126" s="1"/>
      <c r="Z126" s="1"/>
    </row>
    <row r="127" spans="1:26" ht="24" customHeight="1">
      <c r="A127" s="1"/>
      <c r="T127" s="1"/>
      <c r="U127" s="1"/>
      <c r="V127" s="1"/>
      <c r="W127" s="1"/>
      <c r="X127" s="1"/>
      <c r="Y127" s="1"/>
      <c r="Z127" s="1"/>
    </row>
    <row r="128" spans="1:26" ht="24" customHeight="1">
      <c r="A128" s="1"/>
      <c r="T128" s="1"/>
      <c r="U128" s="1"/>
      <c r="V128" s="1"/>
      <c r="W128" s="1"/>
      <c r="X128" s="1"/>
      <c r="Y128" s="1"/>
      <c r="Z128" s="1"/>
    </row>
    <row r="129" spans="1:26" ht="24" customHeight="1">
      <c r="A129" s="1"/>
      <c r="T129" s="1"/>
      <c r="U129" s="1"/>
      <c r="V129" s="1"/>
      <c r="W129" s="1"/>
      <c r="X129" s="1"/>
      <c r="Y129" s="1"/>
      <c r="Z129" s="1"/>
    </row>
    <row r="130" spans="1:26" ht="24" customHeight="1">
      <c r="A130" s="1"/>
      <c r="T130" s="1"/>
      <c r="U130" s="1"/>
      <c r="V130" s="1"/>
      <c r="W130" s="1"/>
      <c r="X130" s="1"/>
      <c r="Y130" s="1"/>
      <c r="Z130" s="1"/>
    </row>
    <row r="131" spans="1:26" ht="24" customHeight="1">
      <c r="A131" s="1"/>
      <c r="T131" s="1"/>
      <c r="U131" s="1"/>
      <c r="V131" s="1"/>
      <c r="W131" s="1"/>
      <c r="X131" s="1"/>
      <c r="Y131" s="1"/>
      <c r="Z131" s="1"/>
    </row>
    <row r="132" spans="1:26" ht="24" customHeight="1">
      <c r="A132" s="1"/>
      <c r="T132" s="1"/>
      <c r="U132" s="1"/>
      <c r="V132" s="1"/>
      <c r="W132" s="1"/>
      <c r="X132" s="1"/>
      <c r="Y132" s="1"/>
      <c r="Z132" s="1"/>
    </row>
    <row r="133" spans="1:26" ht="24" customHeight="1">
      <c r="A133" s="1"/>
      <c r="T133" s="1"/>
      <c r="U133" s="1"/>
      <c r="V133" s="1"/>
      <c r="W133" s="1"/>
      <c r="X133" s="1"/>
      <c r="Y133" s="1"/>
      <c r="Z133" s="1"/>
    </row>
    <row r="134" spans="1:26" ht="24" customHeight="1">
      <c r="A134" s="1"/>
      <c r="T134" s="1"/>
      <c r="U134" s="1"/>
      <c r="V134" s="1"/>
      <c r="W134" s="1"/>
      <c r="X134" s="1"/>
      <c r="Y134" s="1"/>
      <c r="Z134" s="1"/>
    </row>
    <row r="135" spans="1:26" ht="24" customHeight="1">
      <c r="A135" s="1"/>
      <c r="T135" s="1"/>
      <c r="U135" s="1"/>
      <c r="V135" s="1"/>
      <c r="W135" s="1"/>
      <c r="X135" s="1"/>
      <c r="Y135" s="1"/>
      <c r="Z135" s="1"/>
    </row>
    <row r="136" spans="1:26" ht="24" customHeight="1">
      <c r="A136" s="1"/>
      <c r="T136" s="1"/>
      <c r="U136" s="1"/>
      <c r="V136" s="1"/>
      <c r="W136" s="1"/>
      <c r="X136" s="1"/>
      <c r="Y136" s="1"/>
      <c r="Z136" s="1"/>
    </row>
    <row r="137" spans="1:26" ht="24" customHeight="1">
      <c r="A137" s="1"/>
      <c r="T137" s="1"/>
      <c r="U137" s="1"/>
      <c r="V137" s="1"/>
      <c r="W137" s="1"/>
      <c r="X137" s="1"/>
      <c r="Y137" s="1"/>
      <c r="Z137" s="1"/>
    </row>
    <row r="138" spans="1:26" ht="24" customHeight="1">
      <c r="A138" s="1"/>
      <c r="T138" s="1"/>
      <c r="U138" s="1"/>
      <c r="V138" s="1"/>
      <c r="W138" s="1"/>
      <c r="X138" s="1"/>
      <c r="Y138" s="1"/>
      <c r="Z138" s="1"/>
    </row>
    <row r="139" spans="1:26" ht="24" customHeight="1">
      <c r="A139" s="1"/>
      <c r="T139" s="1"/>
      <c r="U139" s="1"/>
      <c r="V139" s="1"/>
      <c r="W139" s="1"/>
      <c r="X139" s="1"/>
      <c r="Y139" s="1"/>
      <c r="Z139" s="1"/>
    </row>
    <row r="140" spans="1:26" ht="24" customHeight="1">
      <c r="A140" s="1"/>
      <c r="T140" s="1"/>
      <c r="U140" s="1"/>
      <c r="V140" s="1"/>
      <c r="W140" s="1"/>
      <c r="X140" s="1"/>
      <c r="Y140" s="1"/>
      <c r="Z140" s="1"/>
    </row>
    <row r="141" spans="1:26" ht="24" customHeight="1">
      <c r="A141" s="1"/>
      <c r="T141" s="1"/>
      <c r="U141" s="1"/>
      <c r="V141" s="1"/>
      <c r="W141" s="1"/>
      <c r="X141" s="1"/>
      <c r="Y141" s="1"/>
      <c r="Z141" s="1"/>
    </row>
    <row r="142" spans="1:26" ht="24" customHeight="1">
      <c r="A142" s="1"/>
      <c r="T142" s="1"/>
      <c r="U142" s="1"/>
      <c r="V142" s="1"/>
      <c r="W142" s="1"/>
      <c r="X142" s="1"/>
      <c r="Y142" s="1"/>
      <c r="Z142" s="1"/>
    </row>
    <row r="143" spans="1:26" ht="24" customHeight="1">
      <c r="A143" s="1"/>
      <c r="T143" s="1"/>
      <c r="U143" s="1"/>
      <c r="V143" s="1"/>
      <c r="W143" s="1"/>
      <c r="X143" s="1"/>
      <c r="Y143" s="1"/>
      <c r="Z143" s="1"/>
    </row>
    <row r="144" spans="1:26" ht="24" customHeight="1">
      <c r="A144" s="1"/>
      <c r="T144" s="1"/>
      <c r="U144" s="1"/>
      <c r="V144" s="1"/>
      <c r="W144" s="1"/>
      <c r="X144" s="1"/>
      <c r="Y144" s="1"/>
      <c r="Z144" s="1"/>
    </row>
    <row r="145" spans="1:26" ht="24" customHeight="1">
      <c r="A145" s="1"/>
      <c r="T145" s="1"/>
      <c r="U145" s="1"/>
      <c r="V145" s="1"/>
      <c r="W145" s="1"/>
      <c r="X145" s="1"/>
      <c r="Y145" s="1"/>
      <c r="Z145" s="1"/>
    </row>
    <row r="146" spans="1:26" ht="24" customHeight="1">
      <c r="A146" s="1"/>
      <c r="T146" s="1"/>
      <c r="U146" s="1"/>
      <c r="V146" s="1"/>
      <c r="W146" s="1"/>
      <c r="X146" s="1"/>
      <c r="Y146" s="1"/>
      <c r="Z146" s="1"/>
    </row>
    <row r="147" spans="1:26" ht="24" customHeight="1">
      <c r="A147" s="1"/>
      <c r="T147" s="1"/>
      <c r="U147" s="1"/>
      <c r="V147" s="1"/>
      <c r="W147" s="1"/>
      <c r="X147" s="1"/>
      <c r="Y147" s="1"/>
      <c r="Z147" s="1"/>
    </row>
    <row r="148" spans="1:26" ht="24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4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9">
    <mergeCell ref="N10:O10"/>
    <mergeCell ref="B2:B26"/>
    <mergeCell ref="C2:O2"/>
    <mergeCell ref="P2:S2"/>
    <mergeCell ref="C3:C4"/>
    <mergeCell ref="D3:O3"/>
    <mergeCell ref="P3:S3"/>
    <mergeCell ref="D4:I4"/>
    <mergeCell ref="J4:O4"/>
    <mergeCell ref="P4:S4"/>
    <mergeCell ref="C5:C13"/>
    <mergeCell ref="D10:E10"/>
    <mergeCell ref="F10:G10"/>
    <mergeCell ref="H10:I10"/>
    <mergeCell ref="J10:K10"/>
    <mergeCell ref="L10:M10"/>
    <mergeCell ref="D13:I13"/>
    <mergeCell ref="J13:O13"/>
    <mergeCell ref="D14:G14"/>
    <mergeCell ref="H14:I14"/>
    <mergeCell ref="J14:M14"/>
    <mergeCell ref="N14:O14"/>
    <mergeCell ref="C15:C16"/>
    <mergeCell ref="D15:O15"/>
    <mergeCell ref="D16:I16"/>
    <mergeCell ref="J16:O16"/>
    <mergeCell ref="C17:C25"/>
    <mergeCell ref="D19:E19"/>
    <mergeCell ref="F19:G19"/>
    <mergeCell ref="H19:I19"/>
    <mergeCell ref="J22:K22"/>
    <mergeCell ref="L22:M22"/>
    <mergeCell ref="N22:O22"/>
    <mergeCell ref="D25:I25"/>
    <mergeCell ref="J25:O25"/>
    <mergeCell ref="D26:G26"/>
    <mergeCell ref="H26:I26"/>
    <mergeCell ref="J26:M26"/>
    <mergeCell ref="N26:O26"/>
  </mergeCells>
  <conditionalFormatting sqref="D4">
    <cfRule type="colorScale" priority="1">
      <colorScale>
        <cfvo type="min"/>
        <cfvo type="max"/>
        <color rgb="FFFF7128"/>
        <color rgb="FFFFEF9C"/>
      </colorScale>
    </cfRule>
  </conditionalFormatting>
  <conditionalFormatting sqref="D4:I4">
    <cfRule type="expression" dxfId="1" priority="2" stopIfTrue="1">
      <formula>LEN($D4)=14</formula>
    </cfRule>
  </conditionalFormatting>
  <conditionalFormatting sqref="J4:O4">
    <cfRule type="expression" dxfId="0" priority="3">
      <formula>LEN($J4)=14</formula>
    </cfRule>
  </conditionalFormatting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INTEGRAÇÃO- ACOP 1º T Frank/Taylor 2º T Loren / Rafael.</dc:creator>
  <cp:lastModifiedBy>INTEGRAÇÃO- ACOP 1º T Frank/Taylor 2º T Loren / Rafael</cp:lastModifiedBy>
  <dcterms:created xsi:type="dcterms:W3CDTF">2026-02-03T13:30:18Z</dcterms:created>
  <dcterms:modified xsi:type="dcterms:W3CDTF">2026-02-03T13:48:50Z</dcterms:modified>
</cp:coreProperties>
</file>