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fb69d0bf57a79a/Desktop/"/>
    </mc:Choice>
  </mc:AlternateContent>
  <xr:revisionPtr revIDLastSave="5" documentId="13_ncr:1_{3CC00C69-38B8-4DB7-B5D4-A4F00EE99B92}" xr6:coauthVersionLast="47" xr6:coauthVersionMax="47" xr10:uidLastSave="{7FB36E70-E0A8-4461-AB54-1BA5D383D877}"/>
  <bookViews>
    <workbookView xWindow="28680" yWindow="-120" windowWidth="29040" windowHeight="15720" tabRatio="962" firstSheet="1" activeTab="5" xr2:uid="{6862427C-693F-408C-B287-A6E6663CA141}"/>
  </bookViews>
  <sheets>
    <sheet name="JANEIRO 2024" sheetId="13" r:id="rId1"/>
    <sheet name="FEVEREIRO 2024" sheetId="14" r:id="rId2"/>
    <sheet name="MARÇO 2024" sheetId="15" r:id="rId3"/>
    <sheet name="ABRIL 2024" sheetId="16" r:id="rId4"/>
    <sheet name="MAIO 2024" sheetId="17" r:id="rId5"/>
    <sheet name="JUNHO 2024" sheetId="18" r:id="rId6"/>
    <sheet name="JULHO 2024" sheetId="19" r:id="rId7"/>
    <sheet name="AGOSTO 2024" sheetId="20" r:id="rId8"/>
    <sheet name="SETEMBRO 2024" sheetId="22" r:id="rId9"/>
    <sheet name="OUTUBRO 2024 " sheetId="23" r:id="rId10"/>
    <sheet name="NOVEMBRO 2024" sheetId="21" r:id="rId11"/>
  </sheets>
  <definedNames>
    <definedName name="_xlnm.Print_Area" localSheetId="3">'ABRIL 2024'!$A$1:$T$32</definedName>
    <definedName name="_xlnm.Print_Area" localSheetId="7">'AGOSTO 2024'!$A$1:$T$33</definedName>
    <definedName name="_xlnm.Print_Area" localSheetId="1">'FEVEREIRO 2024'!$A$1:$T$32</definedName>
    <definedName name="_xlnm.Print_Area" localSheetId="0">'JANEIRO 2024'!$A$1:$T$32</definedName>
    <definedName name="_xlnm.Print_Area" localSheetId="6">'JULHO 2024'!$A$1:$T$33</definedName>
    <definedName name="_xlnm.Print_Area" localSheetId="5">'JUNHO 2024'!$A$1:$T$32</definedName>
    <definedName name="_xlnm.Print_Area" localSheetId="4">'MAIO 2024'!$A$1:$T$32</definedName>
    <definedName name="_xlnm.Print_Area" localSheetId="2">'MARÇO 2024'!$A$1:$T$32</definedName>
    <definedName name="_xlnm.Print_Area" localSheetId="10">'NOVEMBRO 2024'!$A$1:$T$33</definedName>
    <definedName name="_xlnm.Print_Area" localSheetId="9">'OUTUBRO 2024 '!$A$1:$T$33</definedName>
    <definedName name="_xlnm.Print_Area" localSheetId="8">'SETEMBRO 2024'!$A$1:$T$33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18" l="1"/>
  <c r="D13" i="18"/>
  <c r="C13" i="18"/>
  <c r="L3" i="18"/>
  <c r="C14" i="23"/>
  <c r="C16" i="23"/>
  <c r="C13" i="23"/>
  <c r="E16" i="23"/>
  <c r="D16" i="23"/>
  <c r="D13" i="23"/>
  <c r="F3" i="21"/>
  <c r="F3" i="23" l="1"/>
  <c r="L4" i="21"/>
  <c r="L7" i="21"/>
  <c r="L9" i="21"/>
  <c r="L8" i="21"/>
  <c r="L5" i="21"/>
  <c r="L6" i="21"/>
  <c r="G6" i="21"/>
  <c r="G9" i="21"/>
  <c r="G4" i="21"/>
  <c r="G5" i="21"/>
  <c r="G7" i="21"/>
  <c r="G8" i="21"/>
  <c r="G10" i="21"/>
  <c r="G10" i="23"/>
  <c r="H3" i="23" s="1"/>
  <c r="G9" i="23"/>
  <c r="G3" i="21"/>
  <c r="L3" i="21" l="1"/>
  <c r="L10" i="21" s="1"/>
  <c r="C10" i="21"/>
  <c r="D33" i="23"/>
  <c r="C33" i="23"/>
  <c r="E33" i="23" s="1"/>
  <c r="H27" i="23"/>
  <c r="H26" i="23"/>
  <c r="F26" i="23"/>
  <c r="H25" i="23"/>
  <c r="F25" i="23"/>
  <c r="H24" i="23"/>
  <c r="F24" i="23"/>
  <c r="H23" i="23"/>
  <c r="F23" i="23"/>
  <c r="F27" i="23" s="1"/>
  <c r="F20" i="23"/>
  <c r="F19" i="23"/>
  <c r="G18" i="23"/>
  <c r="F18" i="23"/>
  <c r="C18" i="23"/>
  <c r="F17" i="23"/>
  <c r="D17" i="23"/>
  <c r="F16" i="23"/>
  <c r="F15" i="23"/>
  <c r="G14" i="23"/>
  <c r="F14" i="23"/>
  <c r="F13" i="23"/>
  <c r="T9" i="23"/>
  <c r="R9" i="23"/>
  <c r="L9" i="23"/>
  <c r="E19" i="23" s="1"/>
  <c r="H9" i="23"/>
  <c r="F9" i="23"/>
  <c r="D9" i="23"/>
  <c r="T8" i="23"/>
  <c r="R8" i="23"/>
  <c r="L8" i="23"/>
  <c r="D18" i="23" s="1"/>
  <c r="H8" i="23"/>
  <c r="G8" i="23"/>
  <c r="F8" i="23"/>
  <c r="D8" i="23"/>
  <c r="T7" i="23"/>
  <c r="R7" i="23"/>
  <c r="L7" i="23"/>
  <c r="G17" i="23" s="1"/>
  <c r="H7" i="23"/>
  <c r="G7" i="23"/>
  <c r="F7" i="23"/>
  <c r="D7" i="23"/>
  <c r="T6" i="23"/>
  <c r="R6" i="23"/>
  <c r="L6" i="23"/>
  <c r="H6" i="23"/>
  <c r="G6" i="23"/>
  <c r="F6" i="23"/>
  <c r="D6" i="23"/>
  <c r="T5" i="23"/>
  <c r="R5" i="23"/>
  <c r="L5" i="23"/>
  <c r="E15" i="23" s="1"/>
  <c r="H5" i="23"/>
  <c r="G5" i="23"/>
  <c r="F5" i="23"/>
  <c r="D5" i="23"/>
  <c r="T4" i="23"/>
  <c r="R4" i="23"/>
  <c r="L4" i="23"/>
  <c r="D14" i="23" s="1"/>
  <c r="H4" i="23"/>
  <c r="G4" i="23"/>
  <c r="F4" i="23"/>
  <c r="D4" i="23"/>
  <c r="T3" i="23"/>
  <c r="R3" i="23"/>
  <c r="L3" i="23"/>
  <c r="G13" i="23" s="1"/>
  <c r="G3" i="23"/>
  <c r="D3" i="23"/>
  <c r="G19" i="23" l="1"/>
  <c r="E13" i="23"/>
  <c r="C15" i="23"/>
  <c r="E17" i="23"/>
  <c r="C19" i="23"/>
  <c r="M5" i="23"/>
  <c r="M9" i="23"/>
  <c r="L10" i="23"/>
  <c r="M3" i="23" s="1"/>
  <c r="E14" i="23"/>
  <c r="D15" i="23"/>
  <c r="G16" i="23"/>
  <c r="E18" i="23"/>
  <c r="D19" i="23"/>
  <c r="G15" i="23"/>
  <c r="C17" i="23"/>
  <c r="M8" i="23" l="1"/>
  <c r="M4" i="23"/>
  <c r="M7" i="23"/>
  <c r="D20" i="23"/>
  <c r="G20" i="23"/>
  <c r="C20" i="23"/>
  <c r="E20" i="23"/>
  <c r="M6" i="23"/>
  <c r="D33" i="21"/>
  <c r="C33" i="21"/>
  <c r="D33" i="22"/>
  <c r="C33" i="22"/>
  <c r="E33" i="22" s="1"/>
  <c r="H26" i="22"/>
  <c r="F26" i="22"/>
  <c r="H25" i="22"/>
  <c r="F25" i="22"/>
  <c r="H24" i="22"/>
  <c r="F24" i="22"/>
  <c r="H23" i="22"/>
  <c r="H27" i="22" s="1"/>
  <c r="F23" i="22"/>
  <c r="F27" i="22" s="1"/>
  <c r="F19" i="22"/>
  <c r="F18" i="22"/>
  <c r="F17" i="22"/>
  <c r="F16" i="22"/>
  <c r="F15" i="22"/>
  <c r="F14" i="22"/>
  <c r="F13" i="22"/>
  <c r="S10" i="22"/>
  <c r="Q10" i="22"/>
  <c r="N10" i="22"/>
  <c r="E10" i="22"/>
  <c r="C10" i="22"/>
  <c r="R9" i="22"/>
  <c r="L9" i="22"/>
  <c r="E19" i="22" s="1"/>
  <c r="G9" i="22"/>
  <c r="F9" i="22"/>
  <c r="D9" i="22"/>
  <c r="R8" i="22"/>
  <c r="L8" i="22"/>
  <c r="E18" i="22" s="1"/>
  <c r="G8" i="22"/>
  <c r="F8" i="22"/>
  <c r="D8" i="22"/>
  <c r="R7" i="22"/>
  <c r="L7" i="22"/>
  <c r="G17" i="22" s="1"/>
  <c r="G7" i="22"/>
  <c r="F7" i="22"/>
  <c r="D7" i="22"/>
  <c r="R6" i="22"/>
  <c r="L6" i="22"/>
  <c r="D16" i="22" s="1"/>
  <c r="G6" i="22"/>
  <c r="F6" i="22"/>
  <c r="D6" i="22"/>
  <c r="R5" i="22"/>
  <c r="L5" i="22"/>
  <c r="E15" i="22" s="1"/>
  <c r="G5" i="22"/>
  <c r="F5" i="22"/>
  <c r="D5" i="22"/>
  <c r="R4" i="22"/>
  <c r="L4" i="22"/>
  <c r="E14" i="22" s="1"/>
  <c r="G4" i="22"/>
  <c r="F4" i="22"/>
  <c r="D4" i="22"/>
  <c r="R3" i="22"/>
  <c r="L3" i="22"/>
  <c r="G13" i="22" s="1"/>
  <c r="G3" i="22"/>
  <c r="F3" i="22"/>
  <c r="D3" i="22"/>
  <c r="H8" i="22" l="1"/>
  <c r="H9" i="22"/>
  <c r="D13" i="22"/>
  <c r="C14" i="22"/>
  <c r="G14" i="22"/>
  <c r="E16" i="22"/>
  <c r="D17" i="22"/>
  <c r="C18" i="22"/>
  <c r="G18" i="22"/>
  <c r="E20" i="22"/>
  <c r="M6" i="22"/>
  <c r="E13" i="22"/>
  <c r="D14" i="22"/>
  <c r="C15" i="22"/>
  <c r="G15" i="22"/>
  <c r="E17" i="22"/>
  <c r="D18" i="22"/>
  <c r="C19" i="22"/>
  <c r="G19" i="22"/>
  <c r="F20" i="22"/>
  <c r="G10" i="22"/>
  <c r="H3" i="22" s="1"/>
  <c r="D15" i="22"/>
  <c r="C16" i="22"/>
  <c r="G16" i="22"/>
  <c r="D19" i="22"/>
  <c r="T3" i="22"/>
  <c r="T4" i="22"/>
  <c r="T5" i="22"/>
  <c r="T6" i="22"/>
  <c r="T7" i="22"/>
  <c r="T8" i="22"/>
  <c r="T9" i="22"/>
  <c r="L10" i="22"/>
  <c r="M4" i="22" s="1"/>
  <c r="C13" i="22"/>
  <c r="C17" i="22"/>
  <c r="M9" i="22" l="1"/>
  <c r="M5" i="22"/>
  <c r="H5" i="22"/>
  <c r="H4" i="22"/>
  <c r="M8" i="22"/>
  <c r="H6" i="22"/>
  <c r="H7" i="22"/>
  <c r="G20" i="22"/>
  <c r="C20" i="22"/>
  <c r="M7" i="22"/>
  <c r="M3" i="22"/>
  <c r="D20" i="22"/>
  <c r="H26" i="21" l="1"/>
  <c r="F26" i="21"/>
  <c r="H25" i="21"/>
  <c r="F25" i="21"/>
  <c r="H24" i="21"/>
  <c r="F24" i="21"/>
  <c r="H23" i="21"/>
  <c r="F23" i="21"/>
  <c r="F19" i="21"/>
  <c r="F18" i="21"/>
  <c r="F17" i="21"/>
  <c r="F16" i="21"/>
  <c r="F15" i="21"/>
  <c r="F14" i="21"/>
  <c r="F13" i="21"/>
  <c r="T9" i="21"/>
  <c r="D7" i="21"/>
  <c r="E19" i="21"/>
  <c r="F9" i="21"/>
  <c r="C18" i="21"/>
  <c r="F8" i="21"/>
  <c r="G17" i="21"/>
  <c r="F7" i="21"/>
  <c r="D16" i="21"/>
  <c r="F6" i="21"/>
  <c r="E15" i="21"/>
  <c r="F5" i="21"/>
  <c r="G14" i="21"/>
  <c r="F4" i="21"/>
  <c r="G13" i="21"/>
  <c r="H23" i="20"/>
  <c r="H24" i="20"/>
  <c r="H23" i="19"/>
  <c r="H24" i="19"/>
  <c r="F23" i="20"/>
  <c r="E10" i="20"/>
  <c r="F7" i="20" s="1"/>
  <c r="D33" i="20"/>
  <c r="C33" i="20"/>
  <c r="H26" i="20"/>
  <c r="F26" i="20"/>
  <c r="H25" i="20"/>
  <c r="F25" i="20"/>
  <c r="F24" i="20"/>
  <c r="F19" i="20"/>
  <c r="F18" i="20"/>
  <c r="F17" i="20"/>
  <c r="F16" i="20"/>
  <c r="F15" i="20"/>
  <c r="F14" i="20"/>
  <c r="F13" i="20"/>
  <c r="S10" i="20"/>
  <c r="Q10" i="20"/>
  <c r="R9" i="20" s="1"/>
  <c r="N10" i="20"/>
  <c r="C10" i="20"/>
  <c r="L9" i="20"/>
  <c r="E19" i="20" s="1"/>
  <c r="G9" i="20"/>
  <c r="D9" i="20"/>
  <c r="L8" i="20"/>
  <c r="E18" i="20" s="1"/>
  <c r="G8" i="20"/>
  <c r="D8" i="20"/>
  <c r="L7" i="20"/>
  <c r="G17" i="20" s="1"/>
  <c r="G7" i="20"/>
  <c r="D7" i="20"/>
  <c r="L6" i="20"/>
  <c r="D16" i="20" s="1"/>
  <c r="G6" i="20"/>
  <c r="D6" i="20"/>
  <c r="L5" i="20"/>
  <c r="E15" i="20" s="1"/>
  <c r="G5" i="20"/>
  <c r="D5" i="20"/>
  <c r="L4" i="20"/>
  <c r="E14" i="20" s="1"/>
  <c r="G4" i="20"/>
  <c r="D4" i="20"/>
  <c r="L3" i="20"/>
  <c r="G13" i="20" s="1"/>
  <c r="G3" i="20"/>
  <c r="D3" i="20"/>
  <c r="F24" i="19"/>
  <c r="H26" i="19"/>
  <c r="H25" i="19"/>
  <c r="D33" i="19"/>
  <c r="C33" i="19"/>
  <c r="F26" i="19"/>
  <c r="F25" i="19"/>
  <c r="F23" i="19"/>
  <c r="F19" i="19"/>
  <c r="F18" i="19"/>
  <c r="F17" i="19"/>
  <c r="F16" i="19"/>
  <c r="F15" i="19"/>
  <c r="F14" i="19"/>
  <c r="F13" i="19"/>
  <c r="S10" i="19"/>
  <c r="Q10" i="19"/>
  <c r="R8" i="19" s="1"/>
  <c r="N10" i="19"/>
  <c r="E10" i="19"/>
  <c r="F9" i="19" s="1"/>
  <c r="C10" i="19"/>
  <c r="D7" i="19" s="1"/>
  <c r="R9" i="19"/>
  <c r="L9" i="19"/>
  <c r="E19" i="19" s="1"/>
  <c r="G9" i="19"/>
  <c r="L8" i="19"/>
  <c r="E18" i="19" s="1"/>
  <c r="G8" i="19"/>
  <c r="D8" i="19"/>
  <c r="L7" i="19"/>
  <c r="G17" i="19" s="1"/>
  <c r="G7" i="19"/>
  <c r="L6" i="19"/>
  <c r="D16" i="19" s="1"/>
  <c r="G6" i="19"/>
  <c r="F6" i="19"/>
  <c r="L5" i="19"/>
  <c r="E15" i="19" s="1"/>
  <c r="G5" i="19"/>
  <c r="F5" i="19"/>
  <c r="L4" i="19"/>
  <c r="E14" i="19" s="1"/>
  <c r="G4" i="19"/>
  <c r="F4" i="19"/>
  <c r="R3" i="19"/>
  <c r="L3" i="19"/>
  <c r="G13" i="19" s="1"/>
  <c r="G3" i="19"/>
  <c r="D32" i="18"/>
  <c r="C32" i="18"/>
  <c r="H26" i="18"/>
  <c r="F26" i="18"/>
  <c r="H25" i="18"/>
  <c r="F25" i="18"/>
  <c r="H24" i="18"/>
  <c r="F24" i="18"/>
  <c r="H23" i="18"/>
  <c r="F23" i="18"/>
  <c r="F19" i="18"/>
  <c r="F18" i="18"/>
  <c r="F17" i="18"/>
  <c r="F16" i="18"/>
  <c r="F15" i="18"/>
  <c r="F14" i="18"/>
  <c r="F13" i="18"/>
  <c r="S10" i="18"/>
  <c r="T8" i="18" s="1"/>
  <c r="Q10" i="18"/>
  <c r="R9" i="18" s="1"/>
  <c r="N10" i="18"/>
  <c r="E10" i="18"/>
  <c r="F6" i="18" s="1"/>
  <c r="C10" i="18"/>
  <c r="T9" i="18"/>
  <c r="L9" i="18"/>
  <c r="D19" i="18" s="1"/>
  <c r="G9" i="18"/>
  <c r="F9" i="18"/>
  <c r="D9" i="18"/>
  <c r="L8" i="18"/>
  <c r="E18" i="18" s="1"/>
  <c r="G8" i="18"/>
  <c r="F8" i="18"/>
  <c r="D8" i="18"/>
  <c r="L7" i="18"/>
  <c r="E17" i="18" s="1"/>
  <c r="G7" i="18"/>
  <c r="F7" i="18"/>
  <c r="D7" i="18"/>
  <c r="T6" i="18"/>
  <c r="L6" i="18"/>
  <c r="G16" i="18" s="1"/>
  <c r="G6" i="18"/>
  <c r="D6" i="18"/>
  <c r="T5" i="18"/>
  <c r="L5" i="18"/>
  <c r="D15" i="18" s="1"/>
  <c r="G5" i="18"/>
  <c r="D5" i="18"/>
  <c r="T4" i="18"/>
  <c r="L4" i="18"/>
  <c r="E14" i="18" s="1"/>
  <c r="G4" i="18"/>
  <c r="F4" i="18"/>
  <c r="D4" i="18"/>
  <c r="G3" i="18"/>
  <c r="F3" i="18"/>
  <c r="D3" i="18"/>
  <c r="D32" i="17"/>
  <c r="F23" i="17"/>
  <c r="H23" i="17"/>
  <c r="L10" i="17"/>
  <c r="G3" i="17"/>
  <c r="G4" i="17"/>
  <c r="G5" i="17"/>
  <c r="G6" i="17"/>
  <c r="G7" i="17"/>
  <c r="G8" i="17"/>
  <c r="G9" i="17"/>
  <c r="L3" i="17"/>
  <c r="E13" i="17" s="1"/>
  <c r="L4" i="17"/>
  <c r="G14" i="17" s="1"/>
  <c r="L5" i="17"/>
  <c r="G15" i="17" s="1"/>
  <c r="L6" i="17"/>
  <c r="C16" i="17" s="1"/>
  <c r="L7" i="17"/>
  <c r="G17" i="17" s="1"/>
  <c r="L8" i="17"/>
  <c r="G18" i="17" s="1"/>
  <c r="L9" i="17"/>
  <c r="G19" i="17" s="1"/>
  <c r="G16" i="17"/>
  <c r="F14" i="17"/>
  <c r="F15" i="17"/>
  <c r="F16" i="17"/>
  <c r="F17" i="17"/>
  <c r="F18" i="17"/>
  <c r="F19" i="17"/>
  <c r="D16" i="17"/>
  <c r="C14" i="17"/>
  <c r="C32" i="17"/>
  <c r="E32" i="17" s="1"/>
  <c r="H26" i="17"/>
  <c r="F26" i="17"/>
  <c r="H25" i="17"/>
  <c r="F25" i="17"/>
  <c r="H24" i="17"/>
  <c r="F24" i="17"/>
  <c r="F13" i="17"/>
  <c r="Q10" i="17"/>
  <c r="R7" i="17" s="1"/>
  <c r="C10" i="17"/>
  <c r="D9" i="17" s="1"/>
  <c r="F26" i="16"/>
  <c r="D32" i="16"/>
  <c r="C32" i="16"/>
  <c r="H26" i="16"/>
  <c r="H25" i="16"/>
  <c r="F25" i="16"/>
  <c r="H24" i="16"/>
  <c r="F24" i="16"/>
  <c r="H23" i="16"/>
  <c r="F23" i="16"/>
  <c r="F19" i="16"/>
  <c r="F18" i="16"/>
  <c r="F17" i="16"/>
  <c r="F16" i="16"/>
  <c r="F15" i="16"/>
  <c r="F14" i="16"/>
  <c r="F13" i="16"/>
  <c r="S10" i="16"/>
  <c r="Q10" i="16"/>
  <c r="N10" i="16"/>
  <c r="E10" i="16"/>
  <c r="F6" i="16" s="1"/>
  <c r="C10" i="16"/>
  <c r="L9" i="16"/>
  <c r="E19" i="16" s="1"/>
  <c r="G9" i="16"/>
  <c r="F9" i="16"/>
  <c r="D9" i="16"/>
  <c r="L8" i="16"/>
  <c r="G18" i="16" s="1"/>
  <c r="G8" i="16"/>
  <c r="F8" i="16"/>
  <c r="D8" i="16"/>
  <c r="L7" i="16"/>
  <c r="D17" i="16" s="1"/>
  <c r="G7" i="16"/>
  <c r="D7" i="16"/>
  <c r="L6" i="16"/>
  <c r="E16" i="16" s="1"/>
  <c r="G6" i="16"/>
  <c r="D6" i="16"/>
  <c r="L5" i="16"/>
  <c r="E15" i="16" s="1"/>
  <c r="G5" i="16"/>
  <c r="F5" i="16"/>
  <c r="D5" i="16"/>
  <c r="L4" i="16"/>
  <c r="G14" i="16" s="1"/>
  <c r="G4" i="16"/>
  <c r="D4" i="16"/>
  <c r="L3" i="16"/>
  <c r="D13" i="16" s="1"/>
  <c r="G3" i="16"/>
  <c r="D3" i="16"/>
  <c r="E33" i="21" l="1"/>
  <c r="F27" i="21"/>
  <c r="H27" i="21"/>
  <c r="T3" i="21"/>
  <c r="T4" i="21"/>
  <c r="T5" i="21"/>
  <c r="T6" i="21"/>
  <c r="T7" i="21"/>
  <c r="T8" i="21"/>
  <c r="D6" i="21"/>
  <c r="D4" i="21"/>
  <c r="D8" i="21"/>
  <c r="D5" i="21"/>
  <c r="D9" i="21"/>
  <c r="D3" i="21"/>
  <c r="C14" i="21"/>
  <c r="D17" i="21"/>
  <c r="G18" i="21"/>
  <c r="D14" i="21"/>
  <c r="C15" i="21"/>
  <c r="D18" i="21"/>
  <c r="C19" i="21"/>
  <c r="F20" i="21"/>
  <c r="R3" i="21"/>
  <c r="R4" i="21"/>
  <c r="R5" i="21"/>
  <c r="R6" i="21"/>
  <c r="R7" i="21"/>
  <c r="R8" i="21"/>
  <c r="R9" i="21"/>
  <c r="H6" i="21"/>
  <c r="E14" i="21"/>
  <c r="D15" i="21"/>
  <c r="C16" i="21"/>
  <c r="G16" i="21"/>
  <c r="E18" i="21"/>
  <c r="D19" i="21"/>
  <c r="D13" i="21"/>
  <c r="E16" i="21"/>
  <c r="E13" i="21"/>
  <c r="G15" i="21"/>
  <c r="E17" i="21"/>
  <c r="G19" i="21"/>
  <c r="C20" i="21"/>
  <c r="C13" i="21"/>
  <c r="C17" i="21"/>
  <c r="H27" i="20"/>
  <c r="E33" i="20"/>
  <c r="F27" i="20"/>
  <c r="R3" i="20"/>
  <c r="R4" i="20"/>
  <c r="R6" i="20"/>
  <c r="R7" i="20"/>
  <c r="R8" i="20"/>
  <c r="R5" i="20"/>
  <c r="F4" i="20"/>
  <c r="F9" i="20"/>
  <c r="F5" i="20"/>
  <c r="F8" i="20"/>
  <c r="F6" i="20"/>
  <c r="F3" i="20"/>
  <c r="D13" i="20"/>
  <c r="C14" i="20"/>
  <c r="G14" i="20"/>
  <c r="E16" i="20"/>
  <c r="D17" i="20"/>
  <c r="C18" i="20"/>
  <c r="G18" i="20"/>
  <c r="E13" i="20"/>
  <c r="D14" i="20"/>
  <c r="C15" i="20"/>
  <c r="G15" i="20"/>
  <c r="E17" i="20"/>
  <c r="D18" i="20"/>
  <c r="C19" i="20"/>
  <c r="G19" i="20"/>
  <c r="F20" i="20"/>
  <c r="G10" i="20"/>
  <c r="H4" i="20" s="1"/>
  <c r="D15" i="20"/>
  <c r="C16" i="20"/>
  <c r="G16" i="20"/>
  <c r="D19" i="20"/>
  <c r="T3" i="20"/>
  <c r="T4" i="20"/>
  <c r="T5" i="20"/>
  <c r="T6" i="20"/>
  <c r="T7" i="20"/>
  <c r="T8" i="20"/>
  <c r="T9" i="20"/>
  <c r="L10" i="20"/>
  <c r="M4" i="20" s="1"/>
  <c r="C13" i="20"/>
  <c r="C17" i="20"/>
  <c r="E33" i="19"/>
  <c r="F7" i="19"/>
  <c r="D4" i="19"/>
  <c r="F3" i="19"/>
  <c r="R4" i="19"/>
  <c r="R5" i="19"/>
  <c r="R6" i="19"/>
  <c r="R7" i="19"/>
  <c r="H27" i="19"/>
  <c r="D9" i="19"/>
  <c r="D5" i="19"/>
  <c r="D6" i="19"/>
  <c r="D3" i="19"/>
  <c r="F27" i="19"/>
  <c r="F8" i="19"/>
  <c r="D13" i="19"/>
  <c r="C14" i="19"/>
  <c r="G14" i="19"/>
  <c r="E16" i="19"/>
  <c r="D17" i="19"/>
  <c r="C18" i="19"/>
  <c r="G18" i="19"/>
  <c r="E13" i="19"/>
  <c r="D14" i="19"/>
  <c r="C15" i="19"/>
  <c r="G15" i="19"/>
  <c r="E17" i="19"/>
  <c r="D18" i="19"/>
  <c r="C19" i="19"/>
  <c r="G19" i="19"/>
  <c r="F20" i="19"/>
  <c r="G10" i="19"/>
  <c r="H4" i="19" s="1"/>
  <c r="D15" i="19"/>
  <c r="C16" i="19"/>
  <c r="G16" i="19"/>
  <c r="D19" i="19"/>
  <c r="T3" i="19"/>
  <c r="T4" i="19"/>
  <c r="T5" i="19"/>
  <c r="T6" i="19"/>
  <c r="T7" i="19"/>
  <c r="T8" i="19"/>
  <c r="T9" i="19"/>
  <c r="L10" i="19"/>
  <c r="D20" i="19" s="1"/>
  <c r="C13" i="19"/>
  <c r="C17" i="19"/>
  <c r="F5" i="18"/>
  <c r="E32" i="18"/>
  <c r="H27" i="18"/>
  <c r="F27" i="18"/>
  <c r="T3" i="18"/>
  <c r="T7" i="18"/>
  <c r="R4" i="18"/>
  <c r="R6" i="18"/>
  <c r="R8" i="18"/>
  <c r="F20" i="18"/>
  <c r="R3" i="18"/>
  <c r="R5" i="18"/>
  <c r="R7" i="18"/>
  <c r="G13" i="18"/>
  <c r="D16" i="18"/>
  <c r="G17" i="18"/>
  <c r="L10" i="18"/>
  <c r="G20" i="18" s="1"/>
  <c r="E15" i="18"/>
  <c r="C17" i="18"/>
  <c r="E19" i="18"/>
  <c r="G10" i="18"/>
  <c r="H7" i="18" s="1"/>
  <c r="H6" i="18"/>
  <c r="H5" i="18"/>
  <c r="H3" i="18"/>
  <c r="C14" i="18"/>
  <c r="G14" i="18"/>
  <c r="E16" i="18"/>
  <c r="D17" i="18"/>
  <c r="C18" i="18"/>
  <c r="G18" i="18"/>
  <c r="D14" i="18"/>
  <c r="C15" i="18"/>
  <c r="G15" i="18"/>
  <c r="D18" i="18"/>
  <c r="C19" i="18"/>
  <c r="G19" i="18"/>
  <c r="C16" i="18"/>
  <c r="F27" i="17"/>
  <c r="E16" i="17"/>
  <c r="C15" i="17"/>
  <c r="C19" i="17"/>
  <c r="D19" i="17"/>
  <c r="E19" i="17"/>
  <c r="D17" i="17"/>
  <c r="E15" i="17"/>
  <c r="D15" i="17"/>
  <c r="D18" i="17"/>
  <c r="D14" i="17"/>
  <c r="C18" i="17"/>
  <c r="E18" i="17"/>
  <c r="E14" i="17"/>
  <c r="C17" i="17"/>
  <c r="E17" i="17"/>
  <c r="H27" i="17"/>
  <c r="D7" i="17"/>
  <c r="D6" i="17"/>
  <c r="D3" i="17"/>
  <c r="R6" i="17"/>
  <c r="C13" i="17"/>
  <c r="R3" i="17"/>
  <c r="R9" i="17"/>
  <c r="G13" i="17"/>
  <c r="D4" i="17"/>
  <c r="R4" i="17"/>
  <c r="D5" i="17"/>
  <c r="E10" i="17" s="1"/>
  <c r="R5" i="17"/>
  <c r="S10" i="17" s="1"/>
  <c r="D8" i="17"/>
  <c r="R8" i="17"/>
  <c r="D13" i="17"/>
  <c r="F4" i="16"/>
  <c r="H27" i="16"/>
  <c r="E32" i="16"/>
  <c r="D18" i="16"/>
  <c r="E18" i="16"/>
  <c r="D15" i="16"/>
  <c r="C17" i="16"/>
  <c r="C16" i="16"/>
  <c r="E13" i="16"/>
  <c r="C13" i="16"/>
  <c r="F27" i="16"/>
  <c r="G13" i="16"/>
  <c r="C15" i="16"/>
  <c r="G15" i="16"/>
  <c r="G16" i="16"/>
  <c r="G17" i="16"/>
  <c r="C19" i="16"/>
  <c r="G19" i="16"/>
  <c r="D14" i="16"/>
  <c r="D19" i="16"/>
  <c r="L10" i="16"/>
  <c r="M5" i="16" s="1"/>
  <c r="E14" i="16"/>
  <c r="D16" i="16"/>
  <c r="E17" i="16"/>
  <c r="F3" i="16"/>
  <c r="F7" i="16"/>
  <c r="F20" i="16"/>
  <c r="R3" i="16"/>
  <c r="R4" i="16"/>
  <c r="R5" i="16"/>
  <c r="R6" i="16"/>
  <c r="R7" i="16"/>
  <c r="R8" i="16"/>
  <c r="R9" i="16"/>
  <c r="G10" i="16"/>
  <c r="H9" i="16" s="1"/>
  <c r="T3" i="16"/>
  <c r="T4" i="16"/>
  <c r="T5" i="16"/>
  <c r="T6" i="16"/>
  <c r="T7" i="16"/>
  <c r="T8" i="16"/>
  <c r="T9" i="16"/>
  <c r="C14" i="16"/>
  <c r="C18" i="16"/>
  <c r="F13" i="15"/>
  <c r="G3" i="15"/>
  <c r="D32" i="15"/>
  <c r="C32" i="15"/>
  <c r="H26" i="15"/>
  <c r="F26" i="15"/>
  <c r="H25" i="15"/>
  <c r="F25" i="15"/>
  <c r="H24" i="15"/>
  <c r="F24" i="15"/>
  <c r="H23" i="15"/>
  <c r="F23" i="15"/>
  <c r="F19" i="15"/>
  <c r="F18" i="15"/>
  <c r="F17" i="15"/>
  <c r="F16" i="15"/>
  <c r="F15" i="15"/>
  <c r="F14" i="15"/>
  <c r="S10" i="15"/>
  <c r="Q10" i="15"/>
  <c r="R9" i="15" s="1"/>
  <c r="N10" i="15"/>
  <c r="E10" i="15"/>
  <c r="F7" i="15" s="1"/>
  <c r="C10" i="15"/>
  <c r="L9" i="15"/>
  <c r="E19" i="15" s="1"/>
  <c r="G9" i="15"/>
  <c r="D9" i="15"/>
  <c r="L8" i="15"/>
  <c r="E18" i="15" s="1"/>
  <c r="G8" i="15"/>
  <c r="D8" i="15"/>
  <c r="L7" i="15"/>
  <c r="G17" i="15" s="1"/>
  <c r="G7" i="15"/>
  <c r="D7" i="15"/>
  <c r="L6" i="15"/>
  <c r="D16" i="15" s="1"/>
  <c r="G6" i="15"/>
  <c r="D6" i="15"/>
  <c r="L5" i="15"/>
  <c r="E15" i="15" s="1"/>
  <c r="G5" i="15"/>
  <c r="D5" i="15"/>
  <c r="R4" i="15"/>
  <c r="L4" i="15"/>
  <c r="E14" i="15" s="1"/>
  <c r="G4" i="15"/>
  <c r="D4" i="15"/>
  <c r="R3" i="15"/>
  <c r="L3" i="15"/>
  <c r="G13" i="15" s="1"/>
  <c r="D3" i="15"/>
  <c r="G3" i="14"/>
  <c r="C32" i="14"/>
  <c r="G4" i="14"/>
  <c r="G5" i="14"/>
  <c r="G6" i="14"/>
  <c r="G7" i="14"/>
  <c r="G8" i="14"/>
  <c r="G9" i="14"/>
  <c r="D32" i="14"/>
  <c r="H26" i="14"/>
  <c r="F26" i="14"/>
  <c r="H25" i="14"/>
  <c r="F25" i="14"/>
  <c r="H24" i="14"/>
  <c r="F24" i="14"/>
  <c r="H23" i="14"/>
  <c r="F23" i="14"/>
  <c r="F19" i="14"/>
  <c r="F18" i="14"/>
  <c r="F17" i="14"/>
  <c r="F16" i="14"/>
  <c r="F15" i="14"/>
  <c r="F14" i="14"/>
  <c r="F13" i="14"/>
  <c r="S10" i="14"/>
  <c r="Q10" i="14"/>
  <c r="R6" i="14" s="1"/>
  <c r="N10" i="14"/>
  <c r="E10" i="14"/>
  <c r="F7" i="14" s="1"/>
  <c r="C10" i="14"/>
  <c r="D9" i="14" s="1"/>
  <c r="L9" i="14"/>
  <c r="E19" i="14" s="1"/>
  <c r="L8" i="14"/>
  <c r="E18" i="14" s="1"/>
  <c r="D8" i="14"/>
  <c r="L7" i="14"/>
  <c r="G17" i="14" s="1"/>
  <c r="D7" i="14"/>
  <c r="L6" i="14"/>
  <c r="D16" i="14" s="1"/>
  <c r="D6" i="14"/>
  <c r="L5" i="14"/>
  <c r="E15" i="14" s="1"/>
  <c r="D5" i="14"/>
  <c r="L4" i="14"/>
  <c r="E14" i="14" s="1"/>
  <c r="D4" i="14"/>
  <c r="L3" i="14"/>
  <c r="G13" i="14" s="1"/>
  <c r="D3" i="14"/>
  <c r="F23" i="13"/>
  <c r="G3" i="13"/>
  <c r="E10" i="13"/>
  <c r="F7" i="13" s="1"/>
  <c r="L3" i="13"/>
  <c r="D32" i="13"/>
  <c r="C32" i="13"/>
  <c r="H26" i="13"/>
  <c r="F26" i="13"/>
  <c r="H25" i="13"/>
  <c r="F25" i="13"/>
  <c r="H24" i="13"/>
  <c r="F24" i="13"/>
  <c r="H23" i="13"/>
  <c r="F19" i="13"/>
  <c r="F18" i="13"/>
  <c r="F17" i="13"/>
  <c r="F16" i="13"/>
  <c r="F15" i="13"/>
  <c r="F14" i="13"/>
  <c r="F13" i="13"/>
  <c r="S10" i="13"/>
  <c r="T8" i="13" s="1"/>
  <c r="Q10" i="13"/>
  <c r="R4" i="13" s="1"/>
  <c r="N10" i="13"/>
  <c r="C10" i="13"/>
  <c r="L9" i="13"/>
  <c r="E19" i="13" s="1"/>
  <c r="G9" i="13"/>
  <c r="D9" i="13"/>
  <c r="L8" i="13"/>
  <c r="E18" i="13" s="1"/>
  <c r="G8" i="13"/>
  <c r="D8" i="13"/>
  <c r="L7" i="13"/>
  <c r="G17" i="13" s="1"/>
  <c r="G7" i="13"/>
  <c r="D7" i="13"/>
  <c r="L6" i="13"/>
  <c r="D16" i="13" s="1"/>
  <c r="G6" i="13"/>
  <c r="D6" i="13"/>
  <c r="L5" i="13"/>
  <c r="E15" i="13" s="1"/>
  <c r="G5" i="13"/>
  <c r="D5" i="13"/>
  <c r="L4" i="13"/>
  <c r="E14" i="13" s="1"/>
  <c r="G4" i="13"/>
  <c r="D4" i="13"/>
  <c r="G13" i="13"/>
  <c r="D3" i="13"/>
  <c r="M8" i="21" l="1"/>
  <c r="M7" i="21"/>
  <c r="M5" i="21"/>
  <c r="M6" i="21"/>
  <c r="H4" i="21"/>
  <c r="H5" i="21"/>
  <c r="H8" i="21"/>
  <c r="H7" i="21"/>
  <c r="M4" i="21"/>
  <c r="H3" i="21"/>
  <c r="G20" i="21"/>
  <c r="E20" i="21"/>
  <c r="M9" i="21"/>
  <c r="M3" i="21"/>
  <c r="H9" i="21"/>
  <c r="D20" i="21"/>
  <c r="M6" i="20"/>
  <c r="E20" i="20"/>
  <c r="H9" i="20"/>
  <c r="H5" i="20"/>
  <c r="M9" i="20"/>
  <c r="M5" i="20"/>
  <c r="H7" i="20"/>
  <c r="D20" i="20"/>
  <c r="M8" i="20"/>
  <c r="H3" i="20"/>
  <c r="H8" i="20"/>
  <c r="G20" i="20"/>
  <c r="C20" i="20"/>
  <c r="M7" i="20"/>
  <c r="M3" i="20"/>
  <c r="H6" i="20"/>
  <c r="H3" i="19"/>
  <c r="H5" i="19"/>
  <c r="E20" i="19"/>
  <c r="H9" i="19"/>
  <c r="M8" i="19"/>
  <c r="M6" i="19"/>
  <c r="M4" i="19"/>
  <c r="H8" i="19"/>
  <c r="M9" i="19"/>
  <c r="M5" i="19"/>
  <c r="H7" i="19"/>
  <c r="G20" i="19"/>
  <c r="C20" i="19"/>
  <c r="M7" i="19"/>
  <c r="M3" i="19"/>
  <c r="H6" i="19"/>
  <c r="M8" i="18"/>
  <c r="M3" i="18"/>
  <c r="M7" i="18"/>
  <c r="M5" i="18"/>
  <c r="C20" i="18"/>
  <c r="M9" i="18"/>
  <c r="M4" i="18"/>
  <c r="H8" i="18"/>
  <c r="H9" i="18"/>
  <c r="M6" i="18"/>
  <c r="E20" i="18"/>
  <c r="D20" i="18"/>
  <c r="H4" i="18"/>
  <c r="G20" i="17"/>
  <c r="M8" i="17"/>
  <c r="M6" i="17"/>
  <c r="M3" i="17"/>
  <c r="M4" i="17"/>
  <c r="M5" i="17"/>
  <c r="M9" i="17"/>
  <c r="M7" i="17"/>
  <c r="T8" i="17"/>
  <c r="T5" i="17"/>
  <c r="T6" i="17"/>
  <c r="T7" i="17"/>
  <c r="T3" i="17"/>
  <c r="T4" i="17"/>
  <c r="D20" i="17"/>
  <c r="T9" i="17"/>
  <c r="F8" i="17"/>
  <c r="F5" i="17"/>
  <c r="F4" i="17"/>
  <c r="F6" i="17"/>
  <c r="F7" i="17"/>
  <c r="F3" i="17"/>
  <c r="F9" i="17"/>
  <c r="E20" i="17"/>
  <c r="F20" i="17"/>
  <c r="C20" i="17"/>
  <c r="G20" i="16"/>
  <c r="D20" i="16"/>
  <c r="M4" i="16"/>
  <c r="H7" i="16"/>
  <c r="H3" i="16"/>
  <c r="H8" i="16"/>
  <c r="H4" i="16"/>
  <c r="M3" i="16"/>
  <c r="M8" i="16"/>
  <c r="M7" i="16"/>
  <c r="M6" i="16"/>
  <c r="M9" i="16"/>
  <c r="E20" i="16"/>
  <c r="C20" i="16"/>
  <c r="H6" i="16"/>
  <c r="H5" i="16"/>
  <c r="H27" i="15"/>
  <c r="F27" i="15"/>
  <c r="E32" i="15"/>
  <c r="R5" i="15"/>
  <c r="R6" i="15"/>
  <c r="R7" i="15"/>
  <c r="R8" i="15"/>
  <c r="F6" i="15"/>
  <c r="F3" i="15"/>
  <c r="F4" i="15"/>
  <c r="F8" i="15"/>
  <c r="F5" i="15"/>
  <c r="F9" i="15"/>
  <c r="D13" i="15"/>
  <c r="C14" i="15"/>
  <c r="G14" i="15"/>
  <c r="E16" i="15"/>
  <c r="D17" i="15"/>
  <c r="C18" i="15"/>
  <c r="G18" i="15"/>
  <c r="E13" i="15"/>
  <c r="D14" i="15"/>
  <c r="C15" i="15"/>
  <c r="G15" i="15"/>
  <c r="E17" i="15"/>
  <c r="D18" i="15"/>
  <c r="C19" i="15"/>
  <c r="G19" i="15"/>
  <c r="F20" i="15"/>
  <c r="G10" i="15"/>
  <c r="H8" i="15" s="1"/>
  <c r="D15" i="15"/>
  <c r="C16" i="15"/>
  <c r="G16" i="15"/>
  <c r="D19" i="15"/>
  <c r="T3" i="15"/>
  <c r="T4" i="15"/>
  <c r="T5" i="15"/>
  <c r="T6" i="15"/>
  <c r="T7" i="15"/>
  <c r="T8" i="15"/>
  <c r="T9" i="15"/>
  <c r="L10" i="15"/>
  <c r="C13" i="15"/>
  <c r="C17" i="15"/>
  <c r="E32" i="14"/>
  <c r="F27" i="14"/>
  <c r="H27" i="14"/>
  <c r="R9" i="14"/>
  <c r="F4" i="14"/>
  <c r="F9" i="14"/>
  <c r="F6" i="14"/>
  <c r="F5" i="14"/>
  <c r="F8" i="14"/>
  <c r="R7" i="14"/>
  <c r="R8" i="14"/>
  <c r="R3" i="14"/>
  <c r="R4" i="14"/>
  <c r="R5" i="14"/>
  <c r="F3" i="14"/>
  <c r="C14" i="14"/>
  <c r="G14" i="14"/>
  <c r="E16" i="14"/>
  <c r="D17" i="14"/>
  <c r="C18" i="14"/>
  <c r="G18" i="14"/>
  <c r="E13" i="14"/>
  <c r="D14" i="14"/>
  <c r="C15" i="14"/>
  <c r="G15" i="14"/>
  <c r="E17" i="14"/>
  <c r="D18" i="14"/>
  <c r="C19" i="14"/>
  <c r="G19" i="14"/>
  <c r="F20" i="14"/>
  <c r="G10" i="14"/>
  <c r="H5" i="14" s="1"/>
  <c r="D15" i="14"/>
  <c r="C16" i="14"/>
  <c r="G16" i="14"/>
  <c r="D19" i="14"/>
  <c r="D13" i="14"/>
  <c r="T3" i="14"/>
  <c r="T4" i="14"/>
  <c r="T5" i="14"/>
  <c r="T6" i="14"/>
  <c r="T7" i="14"/>
  <c r="T8" i="14"/>
  <c r="T9" i="14"/>
  <c r="L10" i="14"/>
  <c r="M5" i="14" s="1"/>
  <c r="C13" i="14"/>
  <c r="C17" i="14"/>
  <c r="T3" i="13"/>
  <c r="T4" i="13"/>
  <c r="T9" i="13"/>
  <c r="R9" i="13"/>
  <c r="F5" i="13"/>
  <c r="F8" i="13"/>
  <c r="F9" i="13"/>
  <c r="F3" i="13"/>
  <c r="E32" i="13"/>
  <c r="H27" i="13"/>
  <c r="F27" i="13"/>
  <c r="T5" i="13"/>
  <c r="T6" i="13"/>
  <c r="T7" i="13"/>
  <c r="R5" i="13"/>
  <c r="R7" i="13"/>
  <c r="R3" i="13"/>
  <c r="F6" i="13"/>
  <c r="F4" i="13"/>
  <c r="R6" i="13"/>
  <c r="R8" i="13"/>
  <c r="D13" i="13"/>
  <c r="G14" i="13"/>
  <c r="E16" i="13"/>
  <c r="D17" i="13"/>
  <c r="C18" i="13"/>
  <c r="E13" i="13"/>
  <c r="D14" i="13"/>
  <c r="C15" i="13"/>
  <c r="G15" i="13"/>
  <c r="E17" i="13"/>
  <c r="D18" i="13"/>
  <c r="C19" i="13"/>
  <c r="G19" i="13"/>
  <c r="F20" i="13"/>
  <c r="C14" i="13"/>
  <c r="G18" i="13"/>
  <c r="G10" i="13"/>
  <c r="H9" i="13" s="1"/>
  <c r="D15" i="13"/>
  <c r="C16" i="13"/>
  <c r="G16" i="13"/>
  <c r="D19" i="13"/>
  <c r="L10" i="13"/>
  <c r="M3" i="13" s="1"/>
  <c r="C13" i="13"/>
  <c r="C17" i="13"/>
  <c r="G10" i="17" l="1"/>
  <c r="H7" i="17" s="1"/>
  <c r="N10" i="17"/>
  <c r="G20" i="15"/>
  <c r="C20" i="15"/>
  <c r="M7" i="15"/>
  <c r="M3" i="15"/>
  <c r="H9" i="15"/>
  <c r="H4" i="15"/>
  <c r="M6" i="15"/>
  <c r="E20" i="15"/>
  <c r="H7" i="15"/>
  <c r="H5" i="15"/>
  <c r="M9" i="15"/>
  <c r="M5" i="15"/>
  <c r="H3" i="15"/>
  <c r="D20" i="15"/>
  <c r="M8" i="15"/>
  <c r="M4" i="15"/>
  <c r="H6" i="15"/>
  <c r="M9" i="14"/>
  <c r="H8" i="14"/>
  <c r="H4" i="14"/>
  <c r="H6" i="14"/>
  <c r="H7" i="14"/>
  <c r="H9" i="14"/>
  <c r="H3" i="14"/>
  <c r="G20" i="14"/>
  <c r="C20" i="14"/>
  <c r="E20" i="14"/>
  <c r="M8" i="14"/>
  <c r="M4" i="14"/>
  <c r="M7" i="14"/>
  <c r="M3" i="14"/>
  <c r="D20" i="14"/>
  <c r="M6" i="14"/>
  <c r="M8" i="13"/>
  <c r="M4" i="13"/>
  <c r="H3" i="13"/>
  <c r="H7" i="13"/>
  <c r="M7" i="13"/>
  <c r="H5" i="13"/>
  <c r="H8" i="13"/>
  <c r="E20" i="13"/>
  <c r="G20" i="13"/>
  <c r="M6" i="13"/>
  <c r="H6" i="13"/>
  <c r="H4" i="13"/>
  <c r="M9" i="13"/>
  <c r="M5" i="13"/>
  <c r="D20" i="13"/>
  <c r="C20" i="13"/>
  <c r="H6" i="17" l="1"/>
  <c r="H4" i="17"/>
  <c r="H5" i="17"/>
  <c r="H8" i="17"/>
  <c r="H3" i="17"/>
  <c r="H9" i="17"/>
</calcChain>
</file>

<file path=xl/sharedStrings.xml><?xml version="1.0" encoding="utf-8"?>
<sst xmlns="http://schemas.openxmlformats.org/spreadsheetml/2006/main" count="765" uniqueCount="42">
  <si>
    <t>COOPERATIVA</t>
  </si>
  <si>
    <t>FROTA</t>
  </si>
  <si>
    <t>TOTAL</t>
  </si>
  <si>
    <t>%</t>
  </si>
  <si>
    <t>OPER.</t>
  </si>
  <si>
    <t>VIAGENS</t>
  </si>
  <si>
    <t>U</t>
  </si>
  <si>
    <t>S</t>
  </si>
  <si>
    <t>D</t>
  </si>
  <si>
    <t>RECEITA</t>
  </si>
  <si>
    <t>PASSAGEIRO</t>
  </si>
  <si>
    <t>KM</t>
  </si>
  <si>
    <t>IPK</t>
  </si>
  <si>
    <t>IPK'E</t>
  </si>
  <si>
    <t>R$/KM</t>
  </si>
  <si>
    <t>TAR/MÉD</t>
  </si>
  <si>
    <t>PAG</t>
  </si>
  <si>
    <t>COM</t>
  </si>
  <si>
    <t>VT</t>
  </si>
  <si>
    <t>IS</t>
  </si>
  <si>
    <t>I. TEMP.</t>
  </si>
  <si>
    <t>ABT.</t>
  </si>
  <si>
    <t>ALT.</t>
  </si>
  <si>
    <t>ACOP</t>
  </si>
  <si>
    <t>QR CODE</t>
  </si>
  <si>
    <t>PMM</t>
  </si>
  <si>
    <t>AMAZONIACOOPER</t>
  </si>
  <si>
    <t>COOFTAM</t>
  </si>
  <si>
    <t>COOPATAM</t>
  </si>
  <si>
    <t>COOPTAEM</t>
  </si>
  <si>
    <t>COOPTRAM</t>
  </si>
  <si>
    <t>MANAOS</t>
  </si>
  <si>
    <t>MANAUSCOOPER</t>
  </si>
  <si>
    <t>CARTÃO</t>
  </si>
  <si>
    <t>DINHEIRO</t>
  </si>
  <si>
    <t>ESCOLAR</t>
  </si>
  <si>
    <t>ESC. GRATUIDADE</t>
  </si>
  <si>
    <t>CATEGORIA</t>
  </si>
  <si>
    <t>PASS. ALT.</t>
  </si>
  <si>
    <t>EMV</t>
  </si>
  <si>
    <t>ACOP/EMP</t>
  </si>
  <si>
    <t>MRC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</si>
</sst>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$-416]\ * #,##0.00_-;\-[$R$-416]\ * #,##0.00_-;_-[$R$-416]\ * &quot;-&quot;??_-;_-@_-"/>
    <numFmt numFmtId="165" formatCode="#,##0_);\(#,##0\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6"/>
      <color indexed="8"/>
      <name val="Arial"/>
      <family val="2"/>
    </font>
    <font>
      <b/>
      <sz val="11"/>
      <color rgb="FF00206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5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/>
    <xf numFmtId="4" fontId="0" fillId="0" borderId="1" xfId="0" applyNumberFormat="1" applyBorder="1"/>
    <xf numFmtId="4" fontId="0" fillId="2" borderId="1" xfId="0" applyNumberFormat="1" applyFill="1" applyBorder="1"/>
    <xf numFmtId="2" fontId="2" fillId="0" borderId="19" xfId="0" applyNumberFormat="1" applyFont="1" applyBorder="1"/>
    <xf numFmtId="164" fontId="2" fillId="0" borderId="19" xfId="0" applyNumberFormat="1" applyFont="1" applyBorder="1"/>
    <xf numFmtId="164" fontId="2" fillId="0" borderId="19" xfId="1" applyNumberFormat="1" applyFont="1" applyBorder="1"/>
    <xf numFmtId="4" fontId="0" fillId="0" borderId="1" xfId="1" applyNumberFormat="1" applyFont="1" applyBorder="1"/>
    <xf numFmtId="164" fontId="0" fillId="0" borderId="1" xfId="1" applyNumberFormat="1" applyFont="1" applyBorder="1"/>
    <xf numFmtId="0" fontId="0" fillId="0" borderId="20" xfId="0" applyBorder="1" applyAlignment="1">
      <alignment horizontal="center"/>
    </xf>
    <xf numFmtId="4" fontId="0" fillId="0" borderId="11" xfId="0" applyNumberFormat="1" applyBorder="1"/>
    <xf numFmtId="4" fontId="0" fillId="0" borderId="11" xfId="1" applyNumberFormat="1" applyFont="1" applyBorder="1"/>
    <xf numFmtId="164" fontId="0" fillId="0" borderId="11" xfId="1" applyNumberFormat="1" applyFont="1" applyBorder="1"/>
    <xf numFmtId="0" fontId="0" fillId="0" borderId="22" xfId="0" applyBorder="1" applyAlignment="1">
      <alignment horizontal="center"/>
    </xf>
    <xf numFmtId="0" fontId="0" fillId="0" borderId="24" xfId="0" applyBorder="1" applyAlignment="1">
      <alignment horizontal="center"/>
    </xf>
    <xf numFmtId="4" fontId="0" fillId="0" borderId="14" xfId="0" applyNumberFormat="1" applyBorder="1"/>
    <xf numFmtId="4" fontId="0" fillId="0" borderId="14" xfId="1" applyNumberFormat="1" applyFont="1" applyBorder="1"/>
    <xf numFmtId="164" fontId="0" fillId="0" borderId="14" xfId="1" applyNumberFormat="1" applyFont="1" applyBorder="1"/>
    <xf numFmtId="4" fontId="0" fillId="0" borderId="21" xfId="0" applyNumberFormat="1" applyBorder="1"/>
    <xf numFmtId="4" fontId="0" fillId="0" borderId="23" xfId="0" applyNumberFormat="1" applyBorder="1"/>
    <xf numFmtId="4" fontId="0" fillId="0" borderId="25" xfId="0" applyNumberFormat="1" applyBorder="1"/>
    <xf numFmtId="0" fontId="2" fillId="2" borderId="27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0" borderId="19" xfId="0" applyFont="1" applyBorder="1"/>
    <xf numFmtId="1" fontId="2" fillId="0" borderId="19" xfId="0" applyNumberFormat="1" applyFont="1" applyBorder="1"/>
    <xf numFmtId="3" fontId="2" fillId="0" borderId="19" xfId="0" applyNumberFormat="1" applyFont="1" applyBorder="1"/>
    <xf numFmtId="4" fontId="2" fillId="0" borderId="19" xfId="0" applyNumberFormat="1" applyFont="1" applyBorder="1"/>
    <xf numFmtId="4" fontId="0" fillId="2" borderId="11" xfId="0" applyNumberFormat="1" applyFill="1" applyBorder="1"/>
    <xf numFmtId="10" fontId="0" fillId="0" borderId="21" xfId="1" applyNumberFormat="1" applyFont="1" applyBorder="1"/>
    <xf numFmtId="10" fontId="0" fillId="0" borderId="23" xfId="1" applyNumberFormat="1" applyFont="1" applyBorder="1"/>
    <xf numFmtId="4" fontId="0" fillId="2" borderId="14" xfId="0" applyNumberFormat="1" applyFill="1" applyBorder="1"/>
    <xf numFmtId="10" fontId="0" fillId="0" borderId="25" xfId="1" applyNumberFormat="1" applyFont="1" applyBorder="1"/>
    <xf numFmtId="10" fontId="0" fillId="0" borderId="11" xfId="1" applyNumberFormat="1" applyFont="1" applyFill="1" applyBorder="1"/>
    <xf numFmtId="1" fontId="0" fillId="0" borderId="11" xfId="0" applyNumberFormat="1" applyBorder="1"/>
    <xf numFmtId="10" fontId="0" fillId="0" borderId="1" xfId="1" applyNumberFormat="1" applyFont="1" applyFill="1" applyBorder="1"/>
    <xf numFmtId="1" fontId="0" fillId="0" borderId="1" xfId="0" applyNumberFormat="1" applyBorder="1"/>
    <xf numFmtId="10" fontId="0" fillId="0" borderId="14" xfId="1" applyNumberFormat="1" applyFont="1" applyFill="1" applyBorder="1"/>
    <xf numFmtId="1" fontId="0" fillId="0" borderId="14" xfId="0" applyNumberFormat="1" applyBorder="1"/>
    <xf numFmtId="0" fontId="0" fillId="0" borderId="15" xfId="0" applyBorder="1"/>
    <xf numFmtId="0" fontId="0" fillId="0" borderId="20" xfId="0" applyBorder="1"/>
    <xf numFmtId="0" fontId="0" fillId="0" borderId="22" xfId="0" applyBorder="1"/>
    <xf numFmtId="0" fontId="0" fillId="0" borderId="24" xfId="0" applyBorder="1"/>
    <xf numFmtId="3" fontId="0" fillId="0" borderId="20" xfId="0" applyNumberFormat="1" applyBorder="1"/>
    <xf numFmtId="3" fontId="0" fillId="0" borderId="22" xfId="0" applyNumberFormat="1" applyBorder="1"/>
    <xf numFmtId="3" fontId="0" fillId="0" borderId="24" xfId="0" applyNumberFormat="1" applyBorder="1"/>
    <xf numFmtId="4" fontId="0" fillId="2" borderId="10" xfId="0" applyNumberFormat="1" applyFill="1" applyBorder="1"/>
    <xf numFmtId="4" fontId="0" fillId="2" borderId="30" xfId="0" applyNumberFormat="1" applyFill="1" applyBorder="1"/>
    <xf numFmtId="4" fontId="0" fillId="2" borderId="13" xfId="0" applyNumberFormat="1" applyFill="1" applyBorder="1"/>
    <xf numFmtId="4" fontId="0" fillId="0" borderId="20" xfId="0" applyNumberFormat="1" applyBorder="1"/>
    <xf numFmtId="4" fontId="0" fillId="0" borderId="22" xfId="0" applyNumberFormat="1" applyBorder="1"/>
    <xf numFmtId="4" fontId="0" fillId="0" borderId="24" xfId="0" applyNumberFormat="1" applyBorder="1"/>
    <xf numFmtId="4" fontId="0" fillId="2" borderId="12" xfId="0" applyNumberFormat="1" applyFill="1" applyBorder="1"/>
    <xf numFmtId="4" fontId="0" fillId="2" borderId="29" xfId="0" applyNumberFormat="1" applyFill="1" applyBorder="1"/>
    <xf numFmtId="4" fontId="0" fillId="2" borderId="15" xfId="0" applyNumberFormat="1" applyFill="1" applyBorder="1"/>
    <xf numFmtId="0" fontId="0" fillId="0" borderId="0" xfId="0" applyAlignment="1">
      <alignment horizontal="center" vertical="center"/>
    </xf>
    <xf numFmtId="0" fontId="2" fillId="0" borderId="19" xfId="0" applyFont="1" applyBorder="1" applyAlignment="1">
      <alignment horizontal="left" vertical="center"/>
    </xf>
    <xf numFmtId="9" fontId="4" fillId="0" borderId="0" xfId="1" applyFont="1" applyAlignment="1">
      <alignment horizontal="center" vertical="center"/>
    </xf>
    <xf numFmtId="0" fontId="0" fillId="0" borderId="31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1" fontId="0" fillId="0" borderId="0" xfId="0" applyNumberFormat="1"/>
    <xf numFmtId="10" fontId="0" fillId="0" borderId="12" xfId="1" applyNumberFormat="1" applyFont="1" applyBorder="1"/>
    <xf numFmtId="10" fontId="0" fillId="0" borderId="29" xfId="1" applyNumberFormat="1" applyFont="1" applyBorder="1"/>
    <xf numFmtId="10" fontId="0" fillId="0" borderId="15" xfId="1" applyNumberFormat="1" applyFont="1" applyBorder="1"/>
    <xf numFmtId="0" fontId="2" fillId="0" borderId="18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3" borderId="4" xfId="0" applyFont="1" applyFill="1" applyBorder="1" applyAlignment="1">
      <alignment horizontal="left" vertical="center"/>
    </xf>
    <xf numFmtId="3" fontId="2" fillId="4" borderId="5" xfId="0" applyNumberFormat="1" applyFont="1" applyFill="1" applyBorder="1" applyAlignment="1">
      <alignment horizontal="right" vertical="center"/>
    </xf>
    <xf numFmtId="3" fontId="2" fillId="4" borderId="3" xfId="0" applyNumberFormat="1" applyFont="1" applyFill="1" applyBorder="1" applyAlignment="1">
      <alignment vertical="center"/>
    </xf>
    <xf numFmtId="0" fontId="0" fillId="3" borderId="10" xfId="0" applyFill="1" applyBorder="1" applyAlignment="1">
      <alignment horizontal="left" vertical="center"/>
    </xf>
    <xf numFmtId="0" fontId="0" fillId="3" borderId="30" xfId="0" applyFill="1" applyBorder="1" applyAlignment="1">
      <alignment horizontal="left" vertical="center"/>
    </xf>
    <xf numFmtId="0" fontId="0" fillId="3" borderId="13" xfId="0" applyFill="1" applyBorder="1" applyAlignment="1">
      <alignment horizontal="left" vertical="center"/>
    </xf>
    <xf numFmtId="0" fontId="0" fillId="4" borderId="20" xfId="0" applyFill="1" applyBorder="1" applyAlignment="1">
      <alignment horizontal="left" vertical="center"/>
    </xf>
    <xf numFmtId="0" fontId="0" fillId="4" borderId="22" xfId="0" applyFill="1" applyBorder="1" applyAlignment="1">
      <alignment horizontal="left" vertical="center"/>
    </xf>
    <xf numFmtId="0" fontId="0" fillId="4" borderId="43" xfId="0" applyFill="1" applyBorder="1" applyAlignment="1">
      <alignment horizontal="left" vertical="center"/>
    </xf>
    <xf numFmtId="165" fontId="3" fillId="0" borderId="34" xfId="0" applyNumberFormat="1" applyFont="1" applyBorder="1" applyAlignment="1">
      <alignment horizontal="right" vertical="center"/>
    </xf>
    <xf numFmtId="165" fontId="3" fillId="0" borderId="40" xfId="0" applyNumberFormat="1" applyFont="1" applyBorder="1" applyAlignment="1">
      <alignment horizontal="right" vertical="center"/>
    </xf>
    <xf numFmtId="165" fontId="3" fillId="0" borderId="35" xfId="0" applyNumberFormat="1" applyFont="1" applyBorder="1" applyAlignment="1">
      <alignment horizontal="right" vertical="center"/>
    </xf>
    <xf numFmtId="165" fontId="3" fillId="0" borderId="41" xfId="0" applyNumberFormat="1" applyFont="1" applyBorder="1" applyAlignment="1">
      <alignment horizontal="right" vertical="center"/>
    </xf>
    <xf numFmtId="0" fontId="0" fillId="0" borderId="36" xfId="0" applyBorder="1" applyAlignment="1">
      <alignment horizontal="right" vertical="center"/>
    </xf>
    <xf numFmtId="165" fontId="3" fillId="0" borderId="42" xfId="0" applyNumberFormat="1" applyFont="1" applyBorder="1" applyAlignment="1">
      <alignment horizontal="right" vertical="center"/>
    </xf>
    <xf numFmtId="3" fontId="2" fillId="0" borderId="19" xfId="0" applyNumberFormat="1" applyFont="1" applyBorder="1" applyAlignment="1">
      <alignment horizontal="right" vertical="center"/>
    </xf>
    <xf numFmtId="3" fontId="0" fillId="4" borderId="21" xfId="0" applyNumberFormat="1" applyFill="1" applyBorder="1" applyAlignment="1">
      <alignment horizontal="right" vertical="center"/>
    </xf>
    <xf numFmtId="3" fontId="0" fillId="4" borderId="23" xfId="0" applyNumberFormat="1" applyFill="1" applyBorder="1" applyAlignment="1">
      <alignment horizontal="right" vertical="center"/>
    </xf>
    <xf numFmtId="165" fontId="0" fillId="4" borderId="44" xfId="0" applyNumberFormat="1" applyFill="1" applyBorder="1" applyAlignment="1">
      <alignment horizontal="right" vertical="center"/>
    </xf>
    <xf numFmtId="3" fontId="0" fillId="3" borderId="12" xfId="0" applyNumberFormat="1" applyFill="1" applyBorder="1" applyAlignment="1">
      <alignment vertical="center"/>
    </xf>
    <xf numFmtId="3" fontId="0" fillId="3" borderId="29" xfId="0" applyNumberFormat="1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3" fontId="2" fillId="3" borderId="4" xfId="0" applyNumberFormat="1" applyFont="1" applyFill="1" applyBorder="1" applyAlignment="1">
      <alignment vertical="center"/>
    </xf>
    <xf numFmtId="9" fontId="0" fillId="0" borderId="0" xfId="1" applyFont="1"/>
    <xf numFmtId="4" fontId="0" fillId="0" borderId="0" xfId="0" applyNumberFormat="1"/>
    <xf numFmtId="3" fontId="5" fillId="0" borderId="0" xfId="0" applyNumberFormat="1" applyFont="1" applyAlignment="1">
      <alignment horizontal="center" vertical="center"/>
    </xf>
    <xf numFmtId="1" fontId="0" fillId="2" borderId="10" xfId="0" applyNumberFormat="1" applyFill="1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1" fontId="0" fillId="2" borderId="12" xfId="0" applyNumberFormat="1" applyFill="1" applyBorder="1" applyAlignment="1">
      <alignment horizontal="center"/>
    </xf>
    <xf numFmtId="1" fontId="0" fillId="2" borderId="30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2" borderId="29" xfId="0" applyNumberFormat="1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1" fontId="0" fillId="2" borderId="14" xfId="0" applyNumberFormat="1" applyFill="1" applyBorder="1" applyAlignment="1">
      <alignment horizontal="center"/>
    </xf>
    <xf numFmtId="1" fontId="0" fillId="2" borderId="15" xfId="0" applyNumberFormat="1" applyFill="1" applyBorder="1" applyAlignment="1">
      <alignment horizontal="center"/>
    </xf>
    <xf numFmtId="0" fontId="2" fillId="5" borderId="18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18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/>
    </xf>
    <xf numFmtId="0" fontId="2" fillId="2" borderId="46" xfId="0" applyFont="1" applyFill="1" applyBorder="1" applyAlignment="1">
      <alignment horizontal="center"/>
    </xf>
    <xf numFmtId="0" fontId="2" fillId="2" borderId="47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6" xfId="0" applyBorder="1"/>
    <xf numFmtId="10" fontId="0" fillId="0" borderId="12" xfId="1" applyNumberFormat="1" applyFont="1" applyFill="1" applyBorder="1"/>
    <xf numFmtId="164" fontId="0" fillId="0" borderId="20" xfId="0" applyNumberFormat="1" applyBorder="1"/>
    <xf numFmtId="10" fontId="0" fillId="0" borderId="29" xfId="1" applyNumberFormat="1" applyFont="1" applyFill="1" applyBorder="1"/>
    <xf numFmtId="164" fontId="0" fillId="0" borderId="22" xfId="0" applyNumberFormat="1" applyBorder="1"/>
    <xf numFmtId="10" fontId="0" fillId="0" borderId="15" xfId="1" applyNumberFormat="1" applyFont="1" applyFill="1" applyBorder="1"/>
    <xf numFmtId="164" fontId="0" fillId="0" borderId="24" xfId="0" applyNumberFormat="1" applyBorder="1"/>
    <xf numFmtId="0" fontId="2" fillId="0" borderId="4" xfId="0" applyFont="1" applyBorder="1" applyAlignment="1">
      <alignment horizontal="center"/>
    </xf>
    <xf numFmtId="0" fontId="0" fillId="6" borderId="12" xfId="0" applyFill="1" applyBorder="1"/>
    <xf numFmtId="0" fontId="0" fillId="6" borderId="29" xfId="0" applyFill="1" applyBorder="1"/>
    <xf numFmtId="0" fontId="0" fillId="0" borderId="29" xfId="0" applyBorder="1"/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12" xfId="0" applyBorder="1"/>
    <xf numFmtId="4" fontId="0" fillId="2" borderId="10" xfId="0" applyNumberFormat="1" applyFill="1" applyBorder="1" applyAlignment="1">
      <alignment horizontal="center" vertical="center"/>
    </xf>
    <xf numFmtId="4" fontId="0" fillId="2" borderId="11" xfId="0" applyNumberFormat="1" applyFill="1" applyBorder="1" applyAlignment="1">
      <alignment horizontal="center" vertical="center"/>
    </xf>
    <xf numFmtId="4" fontId="0" fillId="2" borderId="30" xfId="0" applyNumberFormat="1" applyFill="1" applyBorder="1" applyAlignment="1">
      <alignment horizontal="center" vertical="center"/>
    </xf>
    <xf numFmtId="4" fontId="0" fillId="2" borderId="1" xfId="0" applyNumberFormat="1" applyFill="1" applyBorder="1" applyAlignment="1">
      <alignment horizontal="center" vertical="center"/>
    </xf>
    <xf numFmtId="4" fontId="0" fillId="2" borderId="13" xfId="0" applyNumberFormat="1" applyFill="1" applyBorder="1" applyAlignment="1">
      <alignment horizontal="center" vertical="center"/>
    </xf>
    <xf numFmtId="4" fontId="0" fillId="2" borderId="14" xfId="0" applyNumberForma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45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0" fillId="0" borderId="10" xfId="0" applyBorder="1"/>
    <xf numFmtId="0" fontId="0" fillId="0" borderId="30" xfId="0" applyBorder="1"/>
    <xf numFmtId="0" fontId="0" fillId="0" borderId="13" xfId="0" applyBorder="1"/>
    <xf numFmtId="0" fontId="0" fillId="0" borderId="21" xfId="0" applyBorder="1"/>
    <xf numFmtId="0" fontId="0" fillId="0" borderId="23" xfId="0" applyBorder="1"/>
    <xf numFmtId="0" fontId="0" fillId="0" borderId="25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5" borderId="10" xfId="0" applyFill="1" applyBorder="1"/>
    <xf numFmtId="0" fontId="0" fillId="5" borderId="30" xfId="0" applyFill="1" applyBorder="1"/>
    <xf numFmtId="0" fontId="0" fillId="5" borderId="13" xfId="0" applyFill="1" applyBorder="1"/>
    <xf numFmtId="1" fontId="0" fillId="5" borderId="11" xfId="0" applyNumberFormat="1" applyFill="1" applyBorder="1"/>
    <xf numFmtId="1" fontId="0" fillId="5" borderId="1" xfId="0" applyNumberFormat="1" applyFill="1" applyBorder="1"/>
    <xf numFmtId="1" fontId="0" fillId="5" borderId="14" xfId="0" applyNumberFormat="1" applyFill="1" applyBorder="1"/>
    <xf numFmtId="0" fontId="2" fillId="0" borderId="18" xfId="0" applyFont="1" applyBorder="1" applyAlignment="1">
      <alignment vertical="center"/>
    </xf>
    <xf numFmtId="0" fontId="0" fillId="0" borderId="34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5" xfId="0" applyBorder="1" applyAlignment="1">
      <alignment horizontal="right" vertical="center"/>
    </xf>
    <xf numFmtId="3" fontId="0" fillId="5" borderId="20" xfId="0" applyNumberFormat="1" applyFill="1" applyBorder="1"/>
    <xf numFmtId="3" fontId="0" fillId="5" borderId="22" xfId="0" applyNumberFormat="1" applyFill="1" applyBorder="1"/>
    <xf numFmtId="3" fontId="0" fillId="5" borderId="24" xfId="0" applyNumberFormat="1" applyFill="1" applyBorder="1"/>
    <xf numFmtId="4" fontId="0" fillId="5" borderId="20" xfId="0" applyNumberFormat="1" applyFill="1" applyBorder="1"/>
    <xf numFmtId="4" fontId="0" fillId="5" borderId="22" xfId="0" applyNumberFormat="1" applyFill="1" applyBorder="1"/>
    <xf numFmtId="4" fontId="0" fillId="5" borderId="24" xfId="0" applyNumberFormat="1" applyFill="1" applyBorder="1"/>
    <xf numFmtId="4" fontId="0" fillId="5" borderId="21" xfId="0" applyNumberFormat="1" applyFill="1" applyBorder="1"/>
    <xf numFmtId="4" fontId="0" fillId="5" borderId="23" xfId="0" applyNumberFormat="1" applyFill="1" applyBorder="1"/>
    <xf numFmtId="4" fontId="0" fillId="5" borderId="25" xfId="0" applyNumberFormat="1" applyFill="1" applyBorder="1"/>
    <xf numFmtId="4" fontId="0" fillId="5" borderId="11" xfId="1" applyNumberFormat="1" applyFont="1" applyFill="1" applyBorder="1"/>
    <xf numFmtId="4" fontId="0" fillId="5" borderId="1" xfId="1" applyNumberFormat="1" applyFont="1" applyFill="1" applyBorder="1"/>
    <xf numFmtId="4" fontId="0" fillId="5" borderId="14" xfId="1" applyNumberFormat="1" applyFont="1" applyFill="1" applyBorder="1"/>
    <xf numFmtId="164" fontId="0" fillId="5" borderId="20" xfId="0" applyNumberFormat="1" applyFill="1" applyBorder="1"/>
    <xf numFmtId="164" fontId="0" fillId="5" borderId="22" xfId="0" applyNumberFormat="1" applyFill="1" applyBorder="1"/>
    <xf numFmtId="164" fontId="0" fillId="5" borderId="24" xfId="0" applyNumberFormat="1" applyFill="1" applyBorder="1"/>
    <xf numFmtId="4" fontId="0" fillId="5" borderId="11" xfId="0" applyNumberFormat="1" applyFill="1" applyBorder="1"/>
    <xf numFmtId="4" fontId="0" fillId="5" borderId="1" xfId="0" applyNumberFormat="1" applyFill="1" applyBorder="1"/>
    <xf numFmtId="4" fontId="0" fillId="5" borderId="14" xfId="0" applyNumberFormat="1" applyFill="1" applyBorder="1"/>
    <xf numFmtId="164" fontId="0" fillId="5" borderId="11" xfId="1" applyNumberFormat="1" applyFont="1" applyFill="1" applyBorder="1"/>
    <xf numFmtId="164" fontId="0" fillId="5" borderId="1" xfId="1" applyNumberFormat="1" applyFont="1" applyFill="1" applyBorder="1"/>
    <xf numFmtId="164" fontId="0" fillId="5" borderId="14" xfId="1" applyNumberFormat="1" applyFont="1" applyFill="1" applyBorder="1"/>
    <xf numFmtId="10" fontId="0" fillId="0" borderId="21" xfId="1" applyNumberFormat="1" applyFont="1" applyFill="1" applyBorder="1"/>
    <xf numFmtId="1" fontId="0" fillId="0" borderId="10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4" fontId="0" fillId="0" borderId="10" xfId="0" applyNumberFormat="1" applyBorder="1" applyAlignment="1">
      <alignment horizontal="center" vertical="center"/>
    </xf>
    <xf numFmtId="4" fontId="0" fillId="0" borderId="11" xfId="0" applyNumberFormat="1" applyBorder="1" applyAlignment="1">
      <alignment horizontal="center" vertical="center"/>
    </xf>
    <xf numFmtId="4" fontId="0" fillId="0" borderId="12" xfId="0" applyNumberFormat="1" applyBorder="1"/>
    <xf numFmtId="10" fontId="0" fillId="0" borderId="23" xfId="1" applyNumberFormat="1" applyFont="1" applyFill="1" applyBorder="1"/>
    <xf numFmtId="1" fontId="0" fillId="0" borderId="30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29" xfId="0" applyNumberFormat="1" applyBorder="1" applyAlignment="1">
      <alignment horizontal="center"/>
    </xf>
    <xf numFmtId="4" fontId="0" fillId="0" borderId="30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" fontId="0" fillId="0" borderId="29" xfId="0" applyNumberFormat="1" applyBorder="1"/>
    <xf numFmtId="10" fontId="0" fillId="0" borderId="25" xfId="1" applyNumberFormat="1" applyFont="1" applyFill="1" applyBorder="1"/>
    <xf numFmtId="1" fontId="0" fillId="0" borderId="13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4" fontId="0" fillId="0" borderId="13" xfId="0" applyNumberFormat="1" applyBorder="1" applyAlignment="1">
      <alignment horizontal="center" vertical="center"/>
    </xf>
    <xf numFmtId="4" fontId="0" fillId="0" borderId="14" xfId="0" applyNumberFormat="1" applyBorder="1" applyAlignment="1">
      <alignment horizontal="center" vertical="center"/>
    </xf>
    <xf numFmtId="4" fontId="0" fillId="0" borderId="15" xfId="0" applyNumberFormat="1" applyBorder="1"/>
    <xf numFmtId="4" fontId="0" fillId="0" borderId="11" xfId="1" applyNumberFormat="1" applyFont="1" applyFill="1" applyBorder="1"/>
    <xf numFmtId="164" fontId="0" fillId="0" borderId="11" xfId="1" applyNumberFormat="1" applyFont="1" applyFill="1" applyBorder="1"/>
    <xf numFmtId="4" fontId="0" fillId="0" borderId="1" xfId="1" applyNumberFormat="1" applyFont="1" applyFill="1" applyBorder="1"/>
    <xf numFmtId="164" fontId="0" fillId="0" borderId="1" xfId="1" applyNumberFormat="1" applyFont="1" applyFill="1" applyBorder="1"/>
    <xf numFmtId="4" fontId="0" fillId="0" borderId="14" xfId="1" applyNumberFormat="1" applyFont="1" applyFill="1" applyBorder="1"/>
    <xf numFmtId="164" fontId="0" fillId="0" borderId="14" xfId="1" applyNumberFormat="1" applyFont="1" applyFill="1" applyBorder="1"/>
    <xf numFmtId="164" fontId="0" fillId="0" borderId="0" xfId="0" applyNumberFormat="1"/>
    <xf numFmtId="3" fontId="0" fillId="0" borderId="0" xfId="0" applyNumberForma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10" fontId="0" fillId="0" borderId="48" xfId="1" applyNumberFormat="1" applyFont="1" applyFill="1" applyBorder="1"/>
    <xf numFmtId="4" fontId="0" fillId="7" borderId="20" xfId="0" applyNumberFormat="1" applyFill="1" applyBorder="1"/>
    <xf numFmtId="164" fontId="0" fillId="7" borderId="20" xfId="0" applyNumberFormat="1" applyFill="1" applyBorder="1"/>
    <xf numFmtId="0" fontId="2" fillId="6" borderId="3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6" borderId="4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5" borderId="37" xfId="0" applyFont="1" applyFill="1" applyBorder="1" applyAlignment="1">
      <alignment horizontal="center" vertical="center"/>
    </xf>
    <xf numFmtId="0" fontId="2" fillId="5" borderId="38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6" borderId="37" xfId="0" applyFont="1" applyFill="1" applyBorder="1" applyAlignment="1">
      <alignment horizontal="center" vertical="center"/>
    </xf>
    <xf numFmtId="0" fontId="2" fillId="6" borderId="38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AB59E-67A2-47AB-BA5C-686CB6DBB664}">
  <sheetPr>
    <tabColor rgb="FF00B050"/>
  </sheetPr>
  <dimension ref="A1:T34"/>
  <sheetViews>
    <sheetView topLeftCell="A25" zoomScaleNormal="100" workbookViewId="0">
      <selection activeCell="M21" sqref="M21"/>
    </sheetView>
  </sheetViews>
  <sheetFormatPr defaultRowHeight="20.100000000000001" customHeight="1" x14ac:dyDescent="0.3"/>
  <cols>
    <col min="1" max="1" width="4.6640625" style="1" customWidth="1"/>
    <col min="2" max="2" width="18.5546875" bestFit="1" customWidth="1"/>
    <col min="3" max="3" width="10.5546875" bestFit="1" customWidth="1"/>
    <col min="4" max="4" width="10.109375" bestFit="1" customWidth="1"/>
    <col min="6" max="6" width="9.5546875" bestFit="1" customWidth="1"/>
    <col min="8" max="8" width="10.109375" bestFit="1" customWidth="1"/>
    <col min="9" max="11" width="9.109375" hidden="1" customWidth="1"/>
    <col min="12" max="12" width="11.6640625" bestFit="1" customWidth="1"/>
    <col min="13" max="13" width="9.33203125" customWidth="1"/>
    <col min="14" max="15" width="9.109375" hidden="1" customWidth="1"/>
    <col min="16" max="16" width="8.109375" hidden="1" customWidth="1"/>
    <col min="18" max="18" width="10.109375" bestFit="1" customWidth="1"/>
    <col min="19" max="19" width="15.88671875" bestFit="1" customWidth="1"/>
    <col min="21" max="21" width="18.5546875" bestFit="1" customWidth="1"/>
    <col min="22" max="22" width="15.88671875" bestFit="1" customWidth="1"/>
    <col min="24" max="24" width="10.109375" bestFit="1" customWidth="1"/>
  </cols>
  <sheetData>
    <row r="1" spans="1:20" ht="20.100000000000001" customHeight="1" thickBot="1" x14ac:dyDescent="0.35">
      <c r="A1" s="232" t="s">
        <v>0</v>
      </c>
      <c r="B1" s="233"/>
      <c r="C1" s="237" t="s">
        <v>1</v>
      </c>
      <c r="D1" s="241"/>
      <c r="E1" s="241"/>
      <c r="F1" s="238"/>
      <c r="G1" s="237" t="s">
        <v>5</v>
      </c>
      <c r="H1" s="238"/>
      <c r="I1" s="68"/>
      <c r="J1" s="69"/>
      <c r="K1" s="70"/>
      <c r="L1" s="237" t="s">
        <v>11</v>
      </c>
      <c r="M1" s="238"/>
      <c r="N1" s="122"/>
      <c r="O1" s="122"/>
      <c r="P1" s="122"/>
      <c r="Q1" s="237" t="s">
        <v>10</v>
      </c>
      <c r="R1" s="238"/>
      <c r="S1" s="237" t="s">
        <v>9</v>
      </c>
      <c r="T1" s="238"/>
    </row>
    <row r="2" spans="1:20" ht="20.100000000000001" customHeight="1" thickBot="1" x14ac:dyDescent="0.35">
      <c r="A2" s="234"/>
      <c r="B2" s="235"/>
      <c r="C2" s="106" t="s">
        <v>2</v>
      </c>
      <c r="D2" s="106" t="s">
        <v>3</v>
      </c>
      <c r="E2" s="106" t="s">
        <v>4</v>
      </c>
      <c r="F2" s="106" t="s">
        <v>3</v>
      </c>
      <c r="G2" s="106" t="s">
        <v>4</v>
      </c>
      <c r="H2" s="106" t="s">
        <v>3</v>
      </c>
      <c r="I2" s="22" t="s">
        <v>6</v>
      </c>
      <c r="J2" s="23" t="s">
        <v>7</v>
      </c>
      <c r="K2" s="24" t="s">
        <v>8</v>
      </c>
      <c r="L2" s="106" t="s">
        <v>4</v>
      </c>
      <c r="M2" s="107" t="s">
        <v>3</v>
      </c>
      <c r="N2" s="111" t="s">
        <v>6</v>
      </c>
      <c r="O2" s="112" t="s">
        <v>7</v>
      </c>
      <c r="P2" s="113" t="s">
        <v>8</v>
      </c>
      <c r="Q2" s="106" t="s">
        <v>4</v>
      </c>
      <c r="R2" s="106" t="s">
        <v>3</v>
      </c>
      <c r="S2" s="106" t="s">
        <v>4</v>
      </c>
      <c r="T2" s="106" t="s">
        <v>3</v>
      </c>
    </row>
    <row r="3" spans="1:20" ht="20.100000000000001" customHeight="1" x14ac:dyDescent="0.3">
      <c r="A3" s="10">
        <v>1</v>
      </c>
      <c r="B3" s="123" t="s">
        <v>26</v>
      </c>
      <c r="C3" s="41">
        <v>22</v>
      </c>
      <c r="D3" s="34">
        <f t="shared" ref="D3:D9" si="0">C3/C$10</f>
        <v>8.5603112840466927E-2</v>
      </c>
      <c r="E3" s="35">
        <v>10</v>
      </c>
      <c r="F3" s="63">
        <f t="shared" ref="F3:F9" si="1">E3/E$10</f>
        <v>6.8143100511073251E-2</v>
      </c>
      <c r="G3" s="44">
        <f>((I3*20)+(J3*5)+(K3*5))</f>
        <v>1695</v>
      </c>
      <c r="H3" s="30">
        <f t="shared" ref="H3:H9" si="2">G3/G$10</f>
        <v>8.4643138038226734E-2</v>
      </c>
      <c r="I3" s="97">
        <v>61.75</v>
      </c>
      <c r="J3" s="98">
        <v>62.5</v>
      </c>
      <c r="K3" s="99">
        <v>29.5</v>
      </c>
      <c r="L3" s="50">
        <f>((N3*19)+(O3*5)+(P3*5))</f>
        <v>56528.825000000004</v>
      </c>
      <c r="M3" s="30">
        <f t="shared" ref="M3:M9" si="3">L3/L$10</f>
        <v>6.3956595276306205E-2</v>
      </c>
      <c r="N3" s="47">
        <v>2143.8000000000002</v>
      </c>
      <c r="O3" s="29">
        <v>2155.9749999999999</v>
      </c>
      <c r="P3" s="53">
        <v>1003.35</v>
      </c>
      <c r="Q3" s="44">
        <v>66522</v>
      </c>
      <c r="R3" s="116">
        <f>Q3/Q$10</f>
        <v>6.2348281349876564E-2</v>
      </c>
      <c r="S3" s="117">
        <v>223983</v>
      </c>
      <c r="T3" s="30">
        <f t="shared" ref="T3:T9" si="4">S3/S$10</f>
        <v>6.1312413811368309E-2</v>
      </c>
    </row>
    <row r="4" spans="1:20" ht="20.100000000000001" customHeight="1" x14ac:dyDescent="0.3">
      <c r="A4" s="14">
        <v>2</v>
      </c>
      <c r="B4" s="124" t="s">
        <v>27</v>
      </c>
      <c r="C4" s="42">
        <v>37</v>
      </c>
      <c r="D4" s="36">
        <f t="shared" si="0"/>
        <v>0.14396887159533073</v>
      </c>
      <c r="E4" s="37">
        <v>24.25</v>
      </c>
      <c r="F4" s="64">
        <f t="shared" si="1"/>
        <v>0.16524701873935263</v>
      </c>
      <c r="G4" s="45">
        <f t="shared" ref="G4:G9" si="5">((I4*19)+(J4*5)+(K4*5))</f>
        <v>3242.25</v>
      </c>
      <c r="H4" s="31">
        <f t="shared" si="2"/>
        <v>0.16190809103506823</v>
      </c>
      <c r="I4" s="100">
        <v>130.25</v>
      </c>
      <c r="J4" s="101">
        <v>123</v>
      </c>
      <c r="K4" s="102">
        <v>30.5</v>
      </c>
      <c r="L4" s="51">
        <f t="shared" ref="L4:L9" si="6">((N4*19)+(O4*5)+(P4*5))</f>
        <v>145107.625</v>
      </c>
      <c r="M4" s="31">
        <f t="shared" si="3"/>
        <v>0.16417446574612174</v>
      </c>
      <c r="N4" s="48">
        <v>5832.625</v>
      </c>
      <c r="O4" s="4">
        <v>5667.9</v>
      </c>
      <c r="P4" s="54">
        <v>1189.6500000000001</v>
      </c>
      <c r="Q4" s="45">
        <v>169767</v>
      </c>
      <c r="R4" s="118">
        <f t="shared" ref="R4:R9" si="7">Q4/Q$10</f>
        <v>0.15911549081393364</v>
      </c>
      <c r="S4" s="119">
        <v>585576</v>
      </c>
      <c r="T4" s="31">
        <f t="shared" si="4"/>
        <v>0.16029376349993441</v>
      </c>
    </row>
    <row r="5" spans="1:20" ht="20.100000000000001" customHeight="1" x14ac:dyDescent="0.3">
      <c r="A5" s="14">
        <v>3</v>
      </c>
      <c r="B5" s="124" t="s">
        <v>30</v>
      </c>
      <c r="C5" s="42">
        <v>20</v>
      </c>
      <c r="D5" s="36">
        <f t="shared" si="0"/>
        <v>7.7821011673151752E-2</v>
      </c>
      <c r="E5" s="37">
        <v>9.75</v>
      </c>
      <c r="F5" s="64">
        <f t="shared" si="1"/>
        <v>6.6439522998296419E-2</v>
      </c>
      <c r="G5" s="45">
        <f t="shared" si="5"/>
        <v>1231.25</v>
      </c>
      <c r="H5" s="31">
        <f t="shared" si="2"/>
        <v>6.1484875344877093E-2</v>
      </c>
      <c r="I5" s="100">
        <v>43.75</v>
      </c>
      <c r="J5" s="101">
        <v>57</v>
      </c>
      <c r="K5" s="102">
        <v>23</v>
      </c>
      <c r="L5" s="51">
        <f t="shared" si="6"/>
        <v>64583.737499999996</v>
      </c>
      <c r="M5" s="31">
        <f t="shared" si="3"/>
        <v>7.3069906560391071E-2</v>
      </c>
      <c r="N5" s="48">
        <v>2318.7624999999998</v>
      </c>
      <c r="O5" s="4">
        <v>2946.8999999999996</v>
      </c>
      <c r="P5" s="54">
        <v>1158.55</v>
      </c>
      <c r="Q5" s="45">
        <v>75380</v>
      </c>
      <c r="R5" s="118">
        <f>Q6/Q$10</f>
        <v>0.45127757647557226</v>
      </c>
      <c r="S5" s="119">
        <v>257411.25</v>
      </c>
      <c r="T5" s="31">
        <f t="shared" si="4"/>
        <v>7.0462959598280139E-2</v>
      </c>
    </row>
    <row r="6" spans="1:20" ht="20.100000000000001" customHeight="1" x14ac:dyDescent="0.3">
      <c r="A6" s="14">
        <v>4</v>
      </c>
      <c r="B6" s="125" t="s">
        <v>28</v>
      </c>
      <c r="C6" s="42">
        <v>96</v>
      </c>
      <c r="D6" s="36">
        <f t="shared" si="0"/>
        <v>0.37354085603112841</v>
      </c>
      <c r="E6" s="37">
        <v>65.75</v>
      </c>
      <c r="F6" s="64">
        <f t="shared" si="1"/>
        <v>0.44804088586030666</v>
      </c>
      <c r="G6" s="45">
        <f t="shared" si="5"/>
        <v>8069</v>
      </c>
      <c r="H6" s="31">
        <f t="shared" si="2"/>
        <v>0.40294128662563511</v>
      </c>
      <c r="I6" s="100">
        <v>306</v>
      </c>
      <c r="J6" s="101">
        <v>283</v>
      </c>
      <c r="K6" s="102">
        <v>168</v>
      </c>
      <c r="L6" s="51">
        <f t="shared" si="6"/>
        <v>408249.77499999997</v>
      </c>
      <c r="M6" s="31">
        <f t="shared" si="3"/>
        <v>0.4618929480900773</v>
      </c>
      <c r="N6" s="48">
        <v>15374.724999999999</v>
      </c>
      <c r="O6" s="4">
        <v>14264.1</v>
      </c>
      <c r="P6" s="54">
        <v>8961.9</v>
      </c>
      <c r="Q6" s="45">
        <v>481487</v>
      </c>
      <c r="R6" s="118">
        <f>Q7/Q$10</f>
        <v>6.5716786854393208E-2</v>
      </c>
      <c r="S6" s="119">
        <v>1656339.75</v>
      </c>
      <c r="T6" s="31">
        <f t="shared" si="4"/>
        <v>0.45340132136911432</v>
      </c>
    </row>
    <row r="7" spans="1:20" ht="20.100000000000001" customHeight="1" x14ac:dyDescent="0.3">
      <c r="A7" s="14">
        <v>5</v>
      </c>
      <c r="B7" s="125" t="s">
        <v>29</v>
      </c>
      <c r="C7" s="42">
        <v>22</v>
      </c>
      <c r="D7" s="36">
        <f t="shared" si="0"/>
        <v>8.5603112840466927E-2</v>
      </c>
      <c r="E7" s="37">
        <v>10.25</v>
      </c>
      <c r="F7" s="64">
        <f t="shared" si="1"/>
        <v>6.9846678023850084E-2</v>
      </c>
      <c r="G7" s="45">
        <f t="shared" si="5"/>
        <v>1626.5</v>
      </c>
      <c r="H7" s="31">
        <f t="shared" si="2"/>
        <v>8.1222456648481295E-2</v>
      </c>
      <c r="I7" s="100">
        <v>63.5</v>
      </c>
      <c r="J7" s="101">
        <v>51.5</v>
      </c>
      <c r="K7" s="102">
        <v>32.5</v>
      </c>
      <c r="L7" s="51">
        <f t="shared" si="6"/>
        <v>57121.912499999999</v>
      </c>
      <c r="M7" s="31">
        <f t="shared" si="3"/>
        <v>6.4627613242820375E-2</v>
      </c>
      <c r="N7" s="48">
        <v>2216.5875000000001</v>
      </c>
      <c r="O7" s="4">
        <v>1819.4749999999999</v>
      </c>
      <c r="P7" s="54">
        <v>1181.875</v>
      </c>
      <c r="Q7" s="45">
        <v>70116</v>
      </c>
      <c r="R7" s="118">
        <f>Q5/Q$10</f>
        <v>7.0650513336245085E-2</v>
      </c>
      <c r="S7" s="119">
        <v>238403.25</v>
      </c>
      <c r="T7" s="31">
        <f t="shared" si="4"/>
        <v>6.5259768455530512E-2</v>
      </c>
    </row>
    <row r="8" spans="1:20" ht="20.100000000000001" customHeight="1" x14ac:dyDescent="0.3">
      <c r="A8" s="14">
        <v>6</v>
      </c>
      <c r="B8" s="125" t="s">
        <v>31</v>
      </c>
      <c r="C8" s="42">
        <v>53</v>
      </c>
      <c r="D8" s="36">
        <f t="shared" si="0"/>
        <v>0.20622568093385213</v>
      </c>
      <c r="E8" s="37">
        <v>23.75</v>
      </c>
      <c r="F8" s="64">
        <f t="shared" si="1"/>
        <v>0.16183986371379896</v>
      </c>
      <c r="G8" s="45">
        <f t="shared" si="5"/>
        <v>3809.5</v>
      </c>
      <c r="H8" s="31">
        <f t="shared" si="2"/>
        <v>0.19023482852898216</v>
      </c>
      <c r="I8" s="100">
        <v>143</v>
      </c>
      <c r="J8" s="101">
        <v>122.5</v>
      </c>
      <c r="K8" s="102">
        <v>96</v>
      </c>
      <c r="L8" s="51">
        <f t="shared" si="6"/>
        <v>131895.125</v>
      </c>
      <c r="M8" s="31">
        <f t="shared" si="3"/>
        <v>0.14922587066939416</v>
      </c>
      <c r="N8" s="48">
        <v>4957.25</v>
      </c>
      <c r="O8" s="4">
        <v>4213.3500000000004</v>
      </c>
      <c r="P8" s="54">
        <v>3328.125</v>
      </c>
      <c r="Q8" s="45">
        <v>182440</v>
      </c>
      <c r="R8" s="118">
        <f t="shared" si="7"/>
        <v>0.17099336233834642</v>
      </c>
      <c r="S8" s="119">
        <v>617589</v>
      </c>
      <c r="T8" s="31">
        <f t="shared" si="4"/>
        <v>0.16905690312813534</v>
      </c>
    </row>
    <row r="9" spans="1:20" ht="20.100000000000001" customHeight="1" thickBot="1" x14ac:dyDescent="0.35">
      <c r="A9" s="15">
        <v>7</v>
      </c>
      <c r="B9" s="40" t="s">
        <v>32</v>
      </c>
      <c r="C9" s="43">
        <v>7</v>
      </c>
      <c r="D9" s="38">
        <f t="shared" si="0"/>
        <v>2.7237354085603113E-2</v>
      </c>
      <c r="E9" s="39">
        <v>3</v>
      </c>
      <c r="F9" s="65">
        <f t="shared" si="1"/>
        <v>2.0442930153321975E-2</v>
      </c>
      <c r="G9" s="46">
        <f t="shared" si="5"/>
        <v>351.75</v>
      </c>
      <c r="H9" s="33">
        <f t="shared" si="2"/>
        <v>1.7565323778729353E-2</v>
      </c>
      <c r="I9" s="103">
        <v>13.25</v>
      </c>
      <c r="J9" s="104">
        <v>14</v>
      </c>
      <c r="K9" s="105">
        <v>6</v>
      </c>
      <c r="L9" s="52">
        <f t="shared" si="6"/>
        <v>20375.324999999997</v>
      </c>
      <c r="M9" s="33">
        <f t="shared" si="3"/>
        <v>2.3052600414889275E-2</v>
      </c>
      <c r="N9" s="49">
        <v>775.17499999999995</v>
      </c>
      <c r="O9" s="32">
        <v>780.7</v>
      </c>
      <c r="P9" s="55">
        <v>348.7</v>
      </c>
      <c r="Q9" s="46">
        <v>21230</v>
      </c>
      <c r="R9" s="120">
        <f t="shared" si="7"/>
        <v>1.9897988831632834E-2</v>
      </c>
      <c r="S9" s="121">
        <v>73840.5</v>
      </c>
      <c r="T9" s="33">
        <f t="shared" si="4"/>
        <v>2.0212870137636969E-2</v>
      </c>
    </row>
    <row r="10" spans="1:20" ht="20.100000000000001" customHeight="1" thickBot="1" x14ac:dyDescent="0.35">
      <c r="C10" s="25">
        <f>SUM(C3:C9)</f>
        <v>257</v>
      </c>
      <c r="E10" s="26">
        <f>SUM(E3:E9)</f>
        <v>146.75</v>
      </c>
      <c r="G10" s="27">
        <f>SUM(G3:G9)</f>
        <v>20025.25</v>
      </c>
      <c r="L10" s="28">
        <f>SUM(L3:L9)</f>
        <v>883862.32499999984</v>
      </c>
      <c r="N10" s="28">
        <f>SUM(N3:N9)</f>
        <v>33618.925000000003</v>
      </c>
      <c r="Q10" s="27">
        <f>SUM(Q3:Q9)</f>
        <v>1066942</v>
      </c>
      <c r="S10" s="6">
        <f>SUM(S3:S9)</f>
        <v>3653142.75</v>
      </c>
    </row>
    <row r="11" spans="1:20" ht="20.100000000000001" customHeight="1" thickBot="1" x14ac:dyDescent="0.35"/>
    <row r="12" spans="1:20" ht="20.100000000000001" customHeight="1" thickBot="1" x14ac:dyDescent="0.35">
      <c r="A12" s="227" t="s">
        <v>0</v>
      </c>
      <c r="B12" s="228"/>
      <c r="C12" s="109" t="s">
        <v>12</v>
      </c>
      <c r="D12" s="106" t="s">
        <v>13</v>
      </c>
      <c r="E12" s="106" t="s">
        <v>14</v>
      </c>
      <c r="F12" s="110" t="s">
        <v>15</v>
      </c>
      <c r="G12" s="106" t="s">
        <v>25</v>
      </c>
      <c r="L12" s="95"/>
      <c r="M12" s="62"/>
    </row>
    <row r="13" spans="1:20" ht="20.100000000000001" customHeight="1" x14ac:dyDescent="0.3">
      <c r="A13" s="126">
        <v>1</v>
      </c>
      <c r="B13" s="41" t="s">
        <v>26</v>
      </c>
      <c r="C13" s="11">
        <f>Q3/L3</f>
        <v>1.1767801648097231</v>
      </c>
      <c r="D13" s="12">
        <f>(S3/4.5)/L3</f>
        <v>0.88050653803612577</v>
      </c>
      <c r="E13" s="11">
        <f>S3/L3</f>
        <v>3.9622794211625658</v>
      </c>
      <c r="F13" s="13">
        <f>S3/Q3</f>
        <v>3.3670515017588167</v>
      </c>
      <c r="G13" s="19">
        <f>L3/E3</f>
        <v>5652.8825000000006</v>
      </c>
      <c r="L13" s="2"/>
    </row>
    <row r="14" spans="1:20" ht="20.100000000000001" customHeight="1" x14ac:dyDescent="0.3">
      <c r="A14" s="127">
        <v>2</v>
      </c>
      <c r="B14" s="42" t="s">
        <v>27</v>
      </c>
      <c r="C14" s="3">
        <f t="shared" ref="C14:C20" si="8">Q4/L4</f>
        <v>1.169938519771101</v>
      </c>
      <c r="D14" s="8">
        <f t="shared" ref="D14:D19" si="9">(S4/4.5)/L4</f>
        <v>0.89676886380023102</v>
      </c>
      <c r="E14" s="3">
        <f t="shared" ref="E14:E20" si="10">S4/L4</f>
        <v>4.0354598871010401</v>
      </c>
      <c r="F14" s="9">
        <f t="shared" ref="F14:F20" si="11">S4/Q4</f>
        <v>3.4492922652812386</v>
      </c>
      <c r="G14" s="20">
        <f t="shared" ref="G14:G19" si="12">L4/E4</f>
        <v>5983.8195876288664</v>
      </c>
    </row>
    <row r="15" spans="1:20" ht="20.100000000000001" customHeight="1" x14ac:dyDescent="0.3">
      <c r="A15" s="127">
        <v>3</v>
      </c>
      <c r="B15" s="42" t="s">
        <v>30</v>
      </c>
      <c r="C15" s="3">
        <f t="shared" si="8"/>
        <v>1.1671668893426925</v>
      </c>
      <c r="D15" s="8">
        <f t="shared" si="9"/>
        <v>0.88571058619826704</v>
      </c>
      <c r="E15" s="3">
        <f t="shared" si="10"/>
        <v>3.9856976378922018</v>
      </c>
      <c r="F15" s="9">
        <f t="shared" si="11"/>
        <v>3.4148481029450783</v>
      </c>
      <c r="G15" s="20">
        <f t="shared" si="12"/>
        <v>6623.9730769230764</v>
      </c>
    </row>
    <row r="16" spans="1:20" ht="20.100000000000001" customHeight="1" x14ac:dyDescent="0.3">
      <c r="A16" s="127">
        <v>4</v>
      </c>
      <c r="B16" s="42" t="s">
        <v>28</v>
      </c>
      <c r="C16" s="3">
        <f t="shared" si="8"/>
        <v>1.1793931790899335</v>
      </c>
      <c r="D16" s="8">
        <f t="shared" si="9"/>
        <v>0.90159388330342627</v>
      </c>
      <c r="E16" s="3">
        <f t="shared" si="10"/>
        <v>4.0571724748654185</v>
      </c>
      <c r="F16" s="9">
        <f t="shared" si="11"/>
        <v>3.440050821725197</v>
      </c>
      <c r="G16" s="20">
        <f t="shared" si="12"/>
        <v>6209.1220532319385</v>
      </c>
    </row>
    <row r="17" spans="1:18" ht="20.100000000000001" customHeight="1" x14ac:dyDescent="0.3">
      <c r="A17" s="127">
        <v>5</v>
      </c>
      <c r="B17" s="42" t="s">
        <v>29</v>
      </c>
      <c r="C17" s="3">
        <f t="shared" si="8"/>
        <v>1.227479909745669</v>
      </c>
      <c r="D17" s="8">
        <f t="shared" si="9"/>
        <v>0.92746369442724808</v>
      </c>
      <c r="E17" s="3">
        <f t="shared" si="10"/>
        <v>4.1735866249226161</v>
      </c>
      <c r="F17" s="9">
        <f t="shared" si="11"/>
        <v>3.4001262194078383</v>
      </c>
      <c r="G17" s="20">
        <f t="shared" si="12"/>
        <v>5572.8695121951214</v>
      </c>
    </row>
    <row r="18" spans="1:18" ht="20.100000000000001" customHeight="1" x14ac:dyDescent="0.3">
      <c r="A18" s="127">
        <v>6</v>
      </c>
      <c r="B18" s="42" t="s">
        <v>31</v>
      </c>
      <c r="C18" s="3">
        <f t="shared" si="8"/>
        <v>1.3832201910419357</v>
      </c>
      <c r="D18" s="8">
        <f t="shared" si="9"/>
        <v>1.0405388372011475</v>
      </c>
      <c r="E18" s="3">
        <f t="shared" si="10"/>
        <v>4.6824247674051636</v>
      </c>
      <c r="F18" s="9">
        <f t="shared" si="11"/>
        <v>3.3851622451216836</v>
      </c>
      <c r="G18" s="20">
        <f t="shared" si="12"/>
        <v>5553.4789473684214</v>
      </c>
    </row>
    <row r="19" spans="1:18" ht="20.100000000000001" customHeight="1" thickBot="1" x14ac:dyDescent="0.35">
      <c r="A19" s="128">
        <v>7</v>
      </c>
      <c r="B19" s="43" t="s">
        <v>32</v>
      </c>
      <c r="C19" s="16">
        <f t="shared" si="8"/>
        <v>1.0419465701774084</v>
      </c>
      <c r="D19" s="17">
        <f t="shared" si="9"/>
        <v>0.8053368473877105</v>
      </c>
      <c r="E19" s="16">
        <f t="shared" si="10"/>
        <v>3.6240158132446973</v>
      </c>
      <c r="F19" s="18">
        <f t="shared" si="11"/>
        <v>3.4781205840791332</v>
      </c>
      <c r="G19" s="21">
        <f t="shared" si="12"/>
        <v>6791.7749999999987</v>
      </c>
    </row>
    <row r="20" spans="1:18" ht="20.100000000000001" customHeight="1" thickBot="1" x14ac:dyDescent="0.35">
      <c r="A20" s="114"/>
      <c r="B20" s="115"/>
      <c r="C20" s="5">
        <f t="shared" si="8"/>
        <v>1.2071359643030379</v>
      </c>
      <c r="D20" s="5">
        <f>(S10/4.5)/L10</f>
        <v>0.9184795833446121</v>
      </c>
      <c r="E20" s="6">
        <f t="shared" si="10"/>
        <v>4.1331581250507545</v>
      </c>
      <c r="F20" s="7">
        <f t="shared" si="11"/>
        <v>3.4239375242515524</v>
      </c>
      <c r="G20" s="28">
        <f>L10/E10</f>
        <v>6022.9119250425883</v>
      </c>
    </row>
    <row r="21" spans="1:18" ht="20.100000000000001" customHeight="1" thickBot="1" x14ac:dyDescent="0.35">
      <c r="R21" s="96"/>
    </row>
    <row r="22" spans="1:18" ht="20.100000000000001" customHeight="1" thickBot="1" x14ac:dyDescent="0.35">
      <c r="B22" s="67" t="s">
        <v>37</v>
      </c>
      <c r="C22" s="108" t="s">
        <v>38</v>
      </c>
      <c r="D22" s="66" t="s">
        <v>23</v>
      </c>
      <c r="E22" s="239" t="s">
        <v>22</v>
      </c>
      <c r="F22" s="240"/>
      <c r="G22" s="229" t="s">
        <v>23</v>
      </c>
      <c r="H22" s="231"/>
      <c r="R22" s="96"/>
    </row>
    <row r="23" spans="1:18" ht="20.100000000000001" customHeight="1" x14ac:dyDescent="0.3">
      <c r="B23" s="59" t="s">
        <v>16</v>
      </c>
      <c r="C23" s="80">
        <v>217953</v>
      </c>
      <c r="D23" s="81">
        <v>1848027</v>
      </c>
      <c r="E23" s="74" t="s">
        <v>34</v>
      </c>
      <c r="F23" s="90">
        <f>C23</f>
        <v>217953</v>
      </c>
      <c r="G23" s="77" t="s">
        <v>34</v>
      </c>
      <c r="H23" s="87">
        <f>D23</f>
        <v>1848027</v>
      </c>
      <c r="L23" s="94"/>
      <c r="R23" s="96"/>
    </row>
    <row r="24" spans="1:18" ht="20.100000000000001" customHeight="1" x14ac:dyDescent="0.3">
      <c r="B24" s="60" t="s">
        <v>17</v>
      </c>
      <c r="C24" s="82">
        <v>57690</v>
      </c>
      <c r="D24" s="83">
        <v>867017</v>
      </c>
      <c r="E24" s="75" t="s">
        <v>33</v>
      </c>
      <c r="F24" s="91">
        <f>SUM(C24:C29)</f>
        <v>848700</v>
      </c>
      <c r="G24" s="78" t="s">
        <v>33</v>
      </c>
      <c r="H24" s="88">
        <f>SUM(D24:D29)</f>
        <v>7158721</v>
      </c>
      <c r="L24" s="94"/>
      <c r="R24" s="96"/>
    </row>
    <row r="25" spans="1:18" ht="20.100000000000001" customHeight="1" x14ac:dyDescent="0.3">
      <c r="B25" s="60" t="s">
        <v>18</v>
      </c>
      <c r="C25" s="82">
        <v>500459</v>
      </c>
      <c r="D25" s="83">
        <v>3777901</v>
      </c>
      <c r="E25" s="75" t="s">
        <v>21</v>
      </c>
      <c r="F25" s="91">
        <f>C30</f>
        <v>289</v>
      </c>
      <c r="G25" s="78" t="s">
        <v>21</v>
      </c>
      <c r="H25" s="88">
        <f>D30</f>
        <v>27593</v>
      </c>
      <c r="L25" s="94"/>
      <c r="Q25" s="96"/>
      <c r="R25" s="96"/>
    </row>
    <row r="26" spans="1:18" ht="20.100000000000001" customHeight="1" thickBot="1" x14ac:dyDescent="0.35">
      <c r="B26" s="60" t="s">
        <v>35</v>
      </c>
      <c r="C26" s="82">
        <v>70837</v>
      </c>
      <c r="D26" s="83">
        <v>880474</v>
      </c>
      <c r="E26" s="76" t="s">
        <v>24</v>
      </c>
      <c r="F26" s="92">
        <f>C31</f>
        <v>0</v>
      </c>
      <c r="G26" s="79" t="s">
        <v>24</v>
      </c>
      <c r="H26" s="89">
        <f>D31</f>
        <v>62021</v>
      </c>
      <c r="L26" s="94"/>
      <c r="Q26" s="96"/>
      <c r="R26" s="96"/>
    </row>
    <row r="27" spans="1:18" ht="20.100000000000001" customHeight="1" thickBot="1" x14ac:dyDescent="0.35">
      <c r="B27" s="60" t="s">
        <v>36</v>
      </c>
      <c r="C27" s="82">
        <v>403</v>
      </c>
      <c r="D27" s="83">
        <v>4044</v>
      </c>
      <c r="E27" s="71" t="s">
        <v>2</v>
      </c>
      <c r="F27" s="93">
        <f>SUM(F23:F26)</f>
        <v>1066942</v>
      </c>
      <c r="G27" s="73" t="s">
        <v>2</v>
      </c>
      <c r="H27" s="72">
        <f>SUM(H23:H26)</f>
        <v>9096362</v>
      </c>
      <c r="Q27" s="96"/>
      <c r="R27" s="96"/>
    </row>
    <row r="28" spans="1:18" ht="20.100000000000001" customHeight="1" x14ac:dyDescent="0.3">
      <c r="B28" s="60" t="s">
        <v>19</v>
      </c>
      <c r="C28" s="82">
        <v>141081</v>
      </c>
      <c r="D28" s="83">
        <v>870524</v>
      </c>
      <c r="E28" s="56"/>
      <c r="F28" s="56"/>
      <c r="G28" s="56"/>
      <c r="H28" s="56"/>
      <c r="Q28" s="96"/>
      <c r="R28" s="96"/>
    </row>
    <row r="29" spans="1:18" ht="20.100000000000001" customHeight="1" x14ac:dyDescent="0.3">
      <c r="B29" s="60" t="s">
        <v>20</v>
      </c>
      <c r="C29" s="82">
        <v>78230</v>
      </c>
      <c r="D29" s="83">
        <v>758761</v>
      </c>
      <c r="E29" s="56"/>
      <c r="F29" s="56"/>
      <c r="G29" s="56"/>
      <c r="H29" s="56"/>
      <c r="Q29" s="96"/>
    </row>
    <row r="30" spans="1:18" ht="20.100000000000001" customHeight="1" x14ac:dyDescent="0.3">
      <c r="B30" s="60" t="s">
        <v>21</v>
      </c>
      <c r="C30" s="82">
        <v>289</v>
      </c>
      <c r="D30" s="83">
        <v>27593</v>
      </c>
      <c r="E30" s="56"/>
      <c r="F30" s="56"/>
      <c r="G30" s="56"/>
      <c r="H30" s="56"/>
      <c r="Q30" s="96"/>
    </row>
    <row r="31" spans="1:18" ht="20.100000000000001" customHeight="1" thickBot="1" x14ac:dyDescent="0.35">
      <c r="B31" s="61" t="s">
        <v>24</v>
      </c>
      <c r="C31" s="84">
        <v>0</v>
      </c>
      <c r="D31" s="85">
        <v>62021</v>
      </c>
      <c r="E31" s="56"/>
      <c r="F31" s="56"/>
      <c r="G31" s="56"/>
      <c r="H31" s="56"/>
      <c r="Q31" s="96"/>
    </row>
    <row r="32" spans="1:18" ht="20.100000000000001" customHeight="1" thickBot="1" x14ac:dyDescent="0.35">
      <c r="B32" s="57" t="s">
        <v>2</v>
      </c>
      <c r="C32" s="86">
        <f>SUM(C23:C31)</f>
        <v>1066942</v>
      </c>
      <c r="D32" s="86">
        <f>SUM(D23:D31)</f>
        <v>9096362</v>
      </c>
      <c r="E32" s="58">
        <f>C32/D32</f>
        <v>0.11729326515369551</v>
      </c>
      <c r="F32" s="56"/>
      <c r="G32" s="56"/>
      <c r="H32" s="56"/>
      <c r="Q32" s="96"/>
    </row>
    <row r="33" spans="17:17" ht="20.100000000000001" customHeight="1" x14ac:dyDescent="0.3">
      <c r="Q33" s="96"/>
    </row>
    <row r="34" spans="17:17" ht="20.100000000000001" customHeight="1" x14ac:dyDescent="0.3">
      <c r="Q34" s="96"/>
    </row>
  </sheetData>
  <mergeCells count="9">
    <mergeCell ref="L1:M1"/>
    <mergeCell ref="Q1:R1"/>
    <mergeCell ref="S1:T1"/>
    <mergeCell ref="A12:B12"/>
    <mergeCell ref="E22:F22"/>
    <mergeCell ref="G22:H22"/>
    <mergeCell ref="A1:B2"/>
    <mergeCell ref="C1:F1"/>
    <mergeCell ref="G1:H1"/>
  </mergeCells>
  <pageMargins left="0.511811024" right="0.511811024" top="0.78740157499999996" bottom="0.78740157499999996" header="0.31496062000000002" footer="0.31496062000000002"/>
  <pageSetup paperSize="9" scale="93" orientation="landscape" r:id="rId1"/>
  <rowBreaks count="1" manualBreakCount="1">
    <brk id="21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D83C4-338D-48C7-ADDD-1B38C82730FE}">
  <sheetPr>
    <tabColor rgb="FF00B050"/>
  </sheetPr>
  <dimension ref="A1:T34"/>
  <sheetViews>
    <sheetView topLeftCell="A19" zoomScaleNormal="100" workbookViewId="0">
      <selection activeCell="E34" sqref="E34"/>
    </sheetView>
  </sheetViews>
  <sheetFormatPr defaultRowHeight="20.100000000000001" customHeight="1" x14ac:dyDescent="0.3"/>
  <cols>
    <col min="1" max="1" width="4.6640625" style="1" customWidth="1"/>
    <col min="2" max="2" width="18.5546875" bestFit="1" customWidth="1"/>
    <col min="3" max="3" width="10.5546875" bestFit="1" customWidth="1"/>
    <col min="4" max="4" width="10.109375" bestFit="1" customWidth="1"/>
    <col min="6" max="6" width="9.5546875" bestFit="1" customWidth="1"/>
    <col min="8" max="8" width="10.109375" bestFit="1" customWidth="1"/>
    <col min="9" max="11" width="9.109375" hidden="1" customWidth="1"/>
    <col min="12" max="12" width="11.6640625" bestFit="1" customWidth="1"/>
    <col min="13" max="13" width="9.33203125" customWidth="1"/>
    <col min="14" max="15" width="9.109375" hidden="1" customWidth="1"/>
    <col min="16" max="16" width="8.109375" hidden="1" customWidth="1"/>
    <col min="18" max="18" width="10.109375" bestFit="1" customWidth="1"/>
    <col min="19" max="19" width="15.88671875" bestFit="1" customWidth="1"/>
    <col min="21" max="21" width="18.5546875" bestFit="1" customWidth="1"/>
    <col min="22" max="22" width="15.88671875" bestFit="1" customWidth="1"/>
    <col min="24" max="24" width="10.109375" bestFit="1" customWidth="1"/>
  </cols>
  <sheetData>
    <row r="1" spans="1:20" ht="20.100000000000001" customHeight="1" thickBot="1" x14ac:dyDescent="0.35">
      <c r="A1" s="232" t="s">
        <v>0</v>
      </c>
      <c r="B1" s="233"/>
      <c r="C1" s="237" t="s">
        <v>1</v>
      </c>
      <c r="D1" s="241"/>
      <c r="E1" s="241"/>
      <c r="F1" s="238"/>
      <c r="G1" s="237" t="s">
        <v>5</v>
      </c>
      <c r="H1" s="238"/>
      <c r="I1" s="68"/>
      <c r="J1" s="69"/>
      <c r="K1" s="70"/>
      <c r="L1" s="237" t="s">
        <v>11</v>
      </c>
      <c r="M1" s="238"/>
      <c r="N1" s="122"/>
      <c r="O1" s="122"/>
      <c r="P1" s="122"/>
      <c r="Q1" s="237" t="s">
        <v>10</v>
      </c>
      <c r="R1" s="238"/>
      <c r="S1" s="237" t="s">
        <v>9</v>
      </c>
      <c r="T1" s="238"/>
    </row>
    <row r="2" spans="1:20" ht="20.100000000000001" customHeight="1" thickBot="1" x14ac:dyDescent="0.35">
      <c r="A2" s="234"/>
      <c r="B2" s="235"/>
      <c r="C2" s="106" t="s">
        <v>2</v>
      </c>
      <c r="D2" s="106" t="s">
        <v>3</v>
      </c>
      <c r="E2" s="106" t="s">
        <v>4</v>
      </c>
      <c r="F2" s="106" t="s">
        <v>3</v>
      </c>
      <c r="G2" s="106" t="s">
        <v>4</v>
      </c>
      <c r="H2" s="106" t="s">
        <v>3</v>
      </c>
      <c r="I2" s="22" t="s">
        <v>6</v>
      </c>
      <c r="J2" s="23" t="s">
        <v>7</v>
      </c>
      <c r="K2" s="24" t="s">
        <v>8</v>
      </c>
      <c r="L2" s="106" t="s">
        <v>4</v>
      </c>
      <c r="M2" s="107" t="s">
        <v>3</v>
      </c>
      <c r="N2" s="111" t="s">
        <v>6</v>
      </c>
      <c r="O2" s="112" t="s">
        <v>7</v>
      </c>
      <c r="P2" s="113" t="s">
        <v>8</v>
      </c>
      <c r="Q2" s="106" t="s">
        <v>4</v>
      </c>
      <c r="R2" s="106" t="s">
        <v>3</v>
      </c>
      <c r="S2" s="106" t="s">
        <v>4</v>
      </c>
      <c r="T2" s="106" t="s">
        <v>3</v>
      </c>
    </row>
    <row r="3" spans="1:20" ht="20.100000000000001" customHeight="1" x14ac:dyDescent="0.3">
      <c r="A3" s="10">
        <v>1</v>
      </c>
      <c r="B3" s="129" t="s">
        <v>26</v>
      </c>
      <c r="C3" s="41">
        <v>22</v>
      </c>
      <c r="D3" s="34">
        <f t="shared" ref="D3:D9" si="0">C3/C$10</f>
        <v>8.5603112840466927E-2</v>
      </c>
      <c r="E3" s="35">
        <v>9.8333333333333339</v>
      </c>
      <c r="F3" s="63">
        <f t="shared" ref="F3:F9" si="1">E3/E$10</f>
        <v>6.4692982456140358E-2</v>
      </c>
      <c r="G3" s="44">
        <f>((I3*20)+(J3*5)+(K3*5))</f>
        <v>1525</v>
      </c>
      <c r="H3" s="30">
        <f t="shared" ref="H3:H9" si="2">G3/G$10</f>
        <v>7.3450318686082164E-2</v>
      </c>
      <c r="I3" s="97">
        <v>54.5</v>
      </c>
      <c r="J3" s="98">
        <v>54</v>
      </c>
      <c r="K3" s="99">
        <v>33</v>
      </c>
      <c r="L3" s="50">
        <f>((N3*19)+(O3*5)+(P3*5))</f>
        <v>51029.499999999993</v>
      </c>
      <c r="M3" s="30">
        <f t="shared" ref="M3:M9" si="3">L3/L$10</f>
        <v>5.6184687619673233E-2</v>
      </c>
      <c r="N3" s="130">
        <v>1893.4999999999998</v>
      </c>
      <c r="O3" s="131">
        <v>1888</v>
      </c>
      <c r="P3" s="53">
        <v>1122.5999999999999</v>
      </c>
      <c r="Q3" s="44">
        <v>79322</v>
      </c>
      <c r="R3" s="116">
        <f>Q3/Q$10</f>
        <v>6.7198912916403342E-2</v>
      </c>
      <c r="S3" s="117">
        <v>239850</v>
      </c>
      <c r="T3" s="30">
        <f t="shared" ref="T3:T9" si="4">S3/S$10</f>
        <v>6.5968979727225083E-2</v>
      </c>
    </row>
    <row r="4" spans="1:20" ht="20.100000000000001" customHeight="1" x14ac:dyDescent="0.3">
      <c r="A4" s="14">
        <v>2</v>
      </c>
      <c r="B4" s="125" t="s">
        <v>27</v>
      </c>
      <c r="C4" s="42">
        <v>37</v>
      </c>
      <c r="D4" s="36">
        <f t="shared" si="0"/>
        <v>0.14396887159533073</v>
      </c>
      <c r="E4" s="37">
        <v>26.333333333333332</v>
      </c>
      <c r="F4" s="64">
        <f t="shared" si="1"/>
        <v>0.1732456140350877</v>
      </c>
      <c r="G4" s="45">
        <f t="shared" ref="G4:G9" si="5">((I4*19)+(J4*5)+(K4*5))</f>
        <v>3622.8333333333335</v>
      </c>
      <c r="H4" s="31">
        <f t="shared" si="2"/>
        <v>0.17449066418353748</v>
      </c>
      <c r="I4" s="100">
        <v>138.83333333333334</v>
      </c>
      <c r="J4" s="101">
        <v>145</v>
      </c>
      <c r="K4" s="102">
        <v>52</v>
      </c>
      <c r="L4" s="51">
        <f t="shared" ref="L4:L9" si="6">((N4*19)+(O4*5)+(P4*5))</f>
        <v>158766.91666666669</v>
      </c>
      <c r="M4" s="31">
        <f t="shared" si="3"/>
        <v>0.17480613404511824</v>
      </c>
      <c r="N4" s="132">
        <v>6194.666666666667</v>
      </c>
      <c r="O4" s="133">
        <v>5918.9</v>
      </c>
      <c r="P4" s="54">
        <v>2294.75</v>
      </c>
      <c r="Q4" s="45">
        <v>189343</v>
      </c>
      <c r="R4" s="118">
        <f t="shared" ref="R4:R9" si="7">Q4/Q$10</f>
        <v>0.1604049793037311</v>
      </c>
      <c r="S4" s="119">
        <v>593275.5</v>
      </c>
      <c r="T4" s="31">
        <f t="shared" si="4"/>
        <v>0.16317606600858586</v>
      </c>
    </row>
    <row r="5" spans="1:20" ht="20.100000000000001" customHeight="1" x14ac:dyDescent="0.3">
      <c r="A5" s="14">
        <v>3</v>
      </c>
      <c r="B5" s="125" t="s">
        <v>30</v>
      </c>
      <c r="C5" s="42">
        <v>20</v>
      </c>
      <c r="D5" s="36">
        <f t="shared" si="0"/>
        <v>7.7821011673151752E-2</v>
      </c>
      <c r="E5" s="37">
        <v>12.333333333333334</v>
      </c>
      <c r="F5" s="64">
        <f t="shared" si="1"/>
        <v>8.1140350877192985E-2</v>
      </c>
      <c r="G5" s="45">
        <f t="shared" si="5"/>
        <v>1603</v>
      </c>
      <c r="H5" s="31">
        <f t="shared" si="2"/>
        <v>7.7207121871337506E-2</v>
      </c>
      <c r="I5" s="100">
        <v>62</v>
      </c>
      <c r="J5" s="101">
        <v>65</v>
      </c>
      <c r="K5" s="102">
        <v>20</v>
      </c>
      <c r="L5" s="51">
        <f t="shared" si="6"/>
        <v>86559.524999999994</v>
      </c>
      <c r="M5" s="31">
        <f t="shared" si="3"/>
        <v>9.5304086315411596E-2</v>
      </c>
      <c r="N5" s="132">
        <v>3329.7249999999999</v>
      </c>
      <c r="O5" s="133">
        <v>3630.95</v>
      </c>
      <c r="P5" s="54">
        <v>1028</v>
      </c>
      <c r="Q5" s="45">
        <v>85034</v>
      </c>
      <c r="R5" s="118">
        <f>Q6/Q$10</f>
        <v>0.43211318817423838</v>
      </c>
      <c r="S5" s="119">
        <v>259272</v>
      </c>
      <c r="T5" s="31">
        <f t="shared" si="4"/>
        <v>7.1310858085624762E-2</v>
      </c>
    </row>
    <row r="6" spans="1:20" ht="20.100000000000001" customHeight="1" x14ac:dyDescent="0.3">
      <c r="A6" s="14">
        <v>4</v>
      </c>
      <c r="B6" s="125" t="s">
        <v>28</v>
      </c>
      <c r="C6" s="42">
        <v>96</v>
      </c>
      <c r="D6" s="36">
        <f t="shared" si="0"/>
        <v>0.37354085603112841</v>
      </c>
      <c r="E6" s="37">
        <v>66.5</v>
      </c>
      <c r="F6" s="64">
        <f t="shared" si="1"/>
        <v>0.4375</v>
      </c>
      <c r="G6" s="45">
        <f t="shared" si="5"/>
        <v>8315.8333333333321</v>
      </c>
      <c r="H6" s="31">
        <f t="shared" si="2"/>
        <v>0.40052498916306761</v>
      </c>
      <c r="I6" s="100">
        <v>315.83333333333331</v>
      </c>
      <c r="J6" s="101">
        <v>295</v>
      </c>
      <c r="K6" s="102">
        <v>168</v>
      </c>
      <c r="L6" s="51">
        <f t="shared" si="6"/>
        <v>410087.78333333333</v>
      </c>
      <c r="M6" s="31">
        <f t="shared" si="3"/>
        <v>0.45151635824822067</v>
      </c>
      <c r="N6" s="132">
        <v>15554.383333333333</v>
      </c>
      <c r="O6" s="133">
        <v>14200.7</v>
      </c>
      <c r="P6" s="54">
        <v>8710.2000000000007</v>
      </c>
      <c r="Q6" s="45">
        <v>510069</v>
      </c>
      <c r="R6" s="118">
        <f>Q7/Q$10</f>
        <v>6.8510326108135677E-2</v>
      </c>
      <c r="S6" s="119">
        <v>1588716</v>
      </c>
      <c r="T6" s="31">
        <f t="shared" si="4"/>
        <v>0.43696465956355268</v>
      </c>
    </row>
    <row r="7" spans="1:20" ht="20.100000000000001" customHeight="1" x14ac:dyDescent="0.3">
      <c r="A7" s="14">
        <v>5</v>
      </c>
      <c r="B7" s="125" t="s">
        <v>29</v>
      </c>
      <c r="C7" s="42">
        <v>22</v>
      </c>
      <c r="D7" s="36">
        <f t="shared" si="0"/>
        <v>8.5603112840466927E-2</v>
      </c>
      <c r="E7" s="37">
        <v>9.8333333333333339</v>
      </c>
      <c r="F7" s="64">
        <f t="shared" si="1"/>
        <v>6.4692982456140358E-2</v>
      </c>
      <c r="G7" s="45">
        <f t="shared" si="5"/>
        <v>1622.3333333333335</v>
      </c>
      <c r="H7" s="31">
        <f t="shared" si="2"/>
        <v>7.8138295310417896E-2</v>
      </c>
      <c r="I7" s="100">
        <v>59.333333333333336</v>
      </c>
      <c r="J7" s="101">
        <v>49</v>
      </c>
      <c r="K7" s="102">
        <v>50</v>
      </c>
      <c r="L7" s="51">
        <f t="shared" si="6"/>
        <v>56468.241666666669</v>
      </c>
      <c r="M7" s="31">
        <f t="shared" si="3"/>
        <v>6.2172870956483675E-2</v>
      </c>
      <c r="N7" s="132">
        <v>2067.3416666666667</v>
      </c>
      <c r="O7" s="133">
        <v>1695.55</v>
      </c>
      <c r="P7" s="54">
        <v>1742.2</v>
      </c>
      <c r="Q7" s="45">
        <v>80870</v>
      </c>
      <c r="R7" s="118">
        <f>Q5/Q$10</f>
        <v>7.2037925933958316E-2</v>
      </c>
      <c r="S7" s="119">
        <v>242610.75</v>
      </c>
      <c r="T7" s="31">
        <f t="shared" si="4"/>
        <v>6.6728303724648205E-2</v>
      </c>
    </row>
    <row r="8" spans="1:20" ht="20.100000000000001" customHeight="1" x14ac:dyDescent="0.3">
      <c r="A8" s="14">
        <v>6</v>
      </c>
      <c r="B8" s="125" t="s">
        <v>31</v>
      </c>
      <c r="C8" s="42">
        <v>53</v>
      </c>
      <c r="D8" s="36">
        <f t="shared" si="0"/>
        <v>0.20622568093385213</v>
      </c>
      <c r="E8" s="37">
        <v>24.333333333333332</v>
      </c>
      <c r="F8" s="64">
        <f t="shared" si="1"/>
        <v>0.16008771929824561</v>
      </c>
      <c r="G8" s="45">
        <f t="shared" si="5"/>
        <v>3712.6666666666665</v>
      </c>
      <c r="H8" s="31">
        <f t="shared" si="2"/>
        <v>0.17881740973236787</v>
      </c>
      <c r="I8" s="100">
        <v>135.66666666666666</v>
      </c>
      <c r="J8" s="101">
        <v>118</v>
      </c>
      <c r="K8" s="102">
        <v>109</v>
      </c>
      <c r="L8" s="51">
        <f t="shared" si="6"/>
        <v>128007.65</v>
      </c>
      <c r="M8" s="31">
        <f t="shared" si="3"/>
        <v>0.14093945322173382</v>
      </c>
      <c r="N8" s="132">
        <v>4692.8499999999995</v>
      </c>
      <c r="O8" s="133">
        <v>4036.2</v>
      </c>
      <c r="P8" s="54">
        <v>3732.5</v>
      </c>
      <c r="Q8" s="45">
        <v>212732</v>
      </c>
      <c r="R8" s="118">
        <f t="shared" si="7"/>
        <v>0.1802193482581417</v>
      </c>
      <c r="S8" s="119">
        <v>639409.5</v>
      </c>
      <c r="T8" s="31">
        <f t="shared" si="4"/>
        <v>0.17586488364767613</v>
      </c>
    </row>
    <row r="9" spans="1:20" ht="20.100000000000001" customHeight="1" thickBot="1" x14ac:dyDescent="0.35">
      <c r="A9" s="15">
        <v>7</v>
      </c>
      <c r="B9" s="40" t="s">
        <v>32</v>
      </c>
      <c r="C9" s="43">
        <v>7</v>
      </c>
      <c r="D9" s="38">
        <f t="shared" si="0"/>
        <v>2.7237354085603113E-2</v>
      </c>
      <c r="E9" s="39">
        <v>2.8333333333333335</v>
      </c>
      <c r="F9" s="65">
        <f t="shared" si="1"/>
        <v>1.8640350877192985E-2</v>
      </c>
      <c r="G9" s="46">
        <f t="shared" si="5"/>
        <v>360.66666666666663</v>
      </c>
      <c r="H9" s="33">
        <f t="shared" si="2"/>
        <v>1.7371201053189265E-2</v>
      </c>
      <c r="I9" s="103">
        <v>12.666666666666666</v>
      </c>
      <c r="J9" s="104">
        <v>16</v>
      </c>
      <c r="K9" s="105">
        <v>8</v>
      </c>
      <c r="L9" s="52">
        <f t="shared" si="6"/>
        <v>17326.066666666666</v>
      </c>
      <c r="M9" s="33">
        <f t="shared" si="3"/>
        <v>1.907640959335874E-2</v>
      </c>
      <c r="N9" s="134">
        <v>587.26666666666665</v>
      </c>
      <c r="O9" s="135">
        <v>822.4</v>
      </c>
      <c r="P9" s="55">
        <v>411.2</v>
      </c>
      <c r="Q9" s="46">
        <v>23036</v>
      </c>
      <c r="R9" s="120">
        <f t="shared" si="7"/>
        <v>1.9515319305391535E-2</v>
      </c>
      <c r="S9" s="121">
        <v>72666</v>
      </c>
      <c r="T9" s="33">
        <f t="shared" si="4"/>
        <v>1.9986249242687253E-2</v>
      </c>
    </row>
    <row r="10" spans="1:20" ht="20.100000000000001" customHeight="1" thickBot="1" x14ac:dyDescent="0.35">
      <c r="C10" s="25">
        <f>SUM(C3:C9)</f>
        <v>257</v>
      </c>
      <c r="E10" s="26">
        <f>SUM(E3:E9)</f>
        <v>152</v>
      </c>
      <c r="G10" s="27">
        <f>SUM(G3:G9)</f>
        <v>20762.333333333336</v>
      </c>
      <c r="L10" s="28">
        <f>SUM(L3:L9)</f>
        <v>908245.68333333335</v>
      </c>
      <c r="N10" s="28">
        <f>SUM(N3:N9)</f>
        <v>34319.733333333337</v>
      </c>
      <c r="Q10" s="27">
        <f>SUM(Q3:Q9)</f>
        <v>1180406</v>
      </c>
      <c r="S10" s="6">
        <f>SUM(S3:S9)</f>
        <v>3635799.75</v>
      </c>
    </row>
    <row r="11" spans="1:20" ht="20.100000000000001" customHeight="1" thickBot="1" x14ac:dyDescent="0.35"/>
    <row r="12" spans="1:20" ht="20.100000000000001" customHeight="1" thickBot="1" x14ac:dyDescent="0.35">
      <c r="A12" s="227" t="s">
        <v>0</v>
      </c>
      <c r="B12" s="228"/>
      <c r="C12" s="109" t="s">
        <v>12</v>
      </c>
      <c r="D12" s="106" t="s">
        <v>13</v>
      </c>
      <c r="E12" s="106" t="s">
        <v>14</v>
      </c>
      <c r="F12" s="110" t="s">
        <v>15</v>
      </c>
      <c r="G12" s="106" t="s">
        <v>25</v>
      </c>
      <c r="L12" s="95"/>
      <c r="M12" s="62"/>
    </row>
    <row r="13" spans="1:20" ht="20.100000000000001" customHeight="1" x14ac:dyDescent="0.3">
      <c r="A13" s="126">
        <v>1</v>
      </c>
      <c r="B13" s="41" t="s">
        <v>26</v>
      </c>
      <c r="C13" s="11">
        <f>Q3/L3</f>
        <v>1.5544341998255913</v>
      </c>
      <c r="D13" s="12">
        <f>(S3/4.5)/L3</f>
        <v>1.0444938711921536</v>
      </c>
      <c r="E13" s="11">
        <f>S3/L3</f>
        <v>4.7002224203646916</v>
      </c>
      <c r="F13" s="13">
        <f>S3/Q3</f>
        <v>3.0237512922014069</v>
      </c>
      <c r="G13" s="19">
        <f>L3/E3</f>
        <v>5189.4406779661003</v>
      </c>
      <c r="L13" s="2"/>
    </row>
    <row r="14" spans="1:20" ht="20.100000000000001" customHeight="1" x14ac:dyDescent="0.3">
      <c r="A14" s="127">
        <v>2</v>
      </c>
      <c r="B14" s="42" t="s">
        <v>27</v>
      </c>
      <c r="C14" s="3">
        <f t="shared" ref="C14:C20" si="8">Q4/L4</f>
        <v>1.1925847271918004</v>
      </c>
      <c r="D14" s="8">
        <f t="shared" ref="D14:D19" si="9">(S4/4.5)/L4</f>
        <v>0.83039340164801323</v>
      </c>
      <c r="E14" s="3">
        <f t="shared" ref="E14:E20" si="10">S4/L4</f>
        <v>3.7367703074160596</v>
      </c>
      <c r="F14" s="9">
        <f t="shared" ref="F14:F20" si="11">S4/Q4</f>
        <v>3.1333373824223765</v>
      </c>
      <c r="G14" s="20">
        <f t="shared" ref="G14:G19" si="12">L4/E4</f>
        <v>6029.1234177215201</v>
      </c>
    </row>
    <row r="15" spans="1:20" ht="20.100000000000001" customHeight="1" x14ac:dyDescent="0.3">
      <c r="A15" s="127">
        <v>3</v>
      </c>
      <c r="B15" s="42" t="s">
        <v>30</v>
      </c>
      <c r="C15" s="3">
        <f t="shared" si="8"/>
        <v>0.9823760007925183</v>
      </c>
      <c r="D15" s="8">
        <f t="shared" si="9"/>
        <v>0.66562287628080219</v>
      </c>
      <c r="E15" s="3">
        <f t="shared" si="10"/>
        <v>2.99530294326361</v>
      </c>
      <c r="F15" s="9">
        <f t="shared" si="11"/>
        <v>3.0490392078462731</v>
      </c>
      <c r="G15" s="20">
        <f t="shared" si="12"/>
        <v>7018.3398648648645</v>
      </c>
    </row>
    <row r="16" spans="1:20" ht="20.100000000000001" customHeight="1" x14ac:dyDescent="0.3">
      <c r="A16" s="127">
        <v>4</v>
      </c>
      <c r="B16" s="42" t="s">
        <v>28</v>
      </c>
      <c r="C16" s="3">
        <f t="shared" si="8"/>
        <v>1.2438044261011272</v>
      </c>
      <c r="D16" s="8">
        <f t="shared" si="9"/>
        <v>0.86090835754799977</v>
      </c>
      <c r="E16" s="3">
        <f t="shared" si="10"/>
        <v>3.8740876089659992</v>
      </c>
      <c r="F16" s="9">
        <f t="shared" si="11"/>
        <v>3.1147080100927522</v>
      </c>
      <c r="G16" s="20">
        <f t="shared" si="12"/>
        <v>6166.7335839599</v>
      </c>
    </row>
    <row r="17" spans="1:18" ht="20.100000000000001" customHeight="1" x14ac:dyDescent="0.3">
      <c r="A17" s="127">
        <v>5</v>
      </c>
      <c r="B17" s="42" t="s">
        <v>29</v>
      </c>
      <c r="C17" s="3">
        <f t="shared" si="8"/>
        <v>1.4321324272389686</v>
      </c>
      <c r="D17" s="8">
        <f t="shared" si="9"/>
        <v>0.95475790300418117</v>
      </c>
      <c r="E17" s="3">
        <f t="shared" si="10"/>
        <v>4.2964105635188155</v>
      </c>
      <c r="F17" s="9">
        <f t="shared" si="11"/>
        <v>3.0000092741436872</v>
      </c>
      <c r="G17" s="20">
        <f t="shared" si="12"/>
        <v>5742.5330508474572</v>
      </c>
    </row>
    <row r="18" spans="1:18" ht="20.100000000000001" customHeight="1" x14ac:dyDescent="0.3">
      <c r="A18" s="127">
        <v>6</v>
      </c>
      <c r="B18" s="42" t="s">
        <v>31</v>
      </c>
      <c r="C18" s="3">
        <f t="shared" si="8"/>
        <v>1.661869427335007</v>
      </c>
      <c r="D18" s="8">
        <f t="shared" si="9"/>
        <v>1.1100195964850539</v>
      </c>
      <c r="E18" s="3">
        <f t="shared" si="10"/>
        <v>4.9950881841827428</v>
      </c>
      <c r="F18" s="9">
        <f t="shared" si="11"/>
        <v>3.0057043604159226</v>
      </c>
      <c r="G18" s="20">
        <f t="shared" si="12"/>
        <v>5260.5883561643832</v>
      </c>
    </row>
    <row r="19" spans="1:18" ht="20.100000000000001" customHeight="1" thickBot="1" x14ac:dyDescent="0.35">
      <c r="A19" s="128">
        <v>7</v>
      </c>
      <c r="B19" s="43" t="s">
        <v>32</v>
      </c>
      <c r="C19" s="16">
        <f t="shared" si="8"/>
        <v>1.3295573913679197</v>
      </c>
      <c r="D19" s="17">
        <f t="shared" si="9"/>
        <v>0.93200611025391422</v>
      </c>
      <c r="E19" s="16">
        <f t="shared" si="10"/>
        <v>4.1940274961426143</v>
      </c>
      <c r="F19" s="18">
        <f t="shared" si="11"/>
        <v>3.1544538982462234</v>
      </c>
      <c r="G19" s="21">
        <f t="shared" si="12"/>
        <v>6115.0823529411755</v>
      </c>
    </row>
    <row r="20" spans="1:18" ht="20.100000000000001" customHeight="1" thickBot="1" x14ac:dyDescent="0.35">
      <c r="A20" s="114"/>
      <c r="B20" s="115"/>
      <c r="C20" s="5">
        <f t="shared" si="8"/>
        <v>1.2996549520255543</v>
      </c>
      <c r="D20" s="5">
        <f>(S10/4.5)/L10</f>
        <v>0.88957813378725847</v>
      </c>
      <c r="E20" s="6">
        <f t="shared" si="10"/>
        <v>4.0031016020426629</v>
      </c>
      <c r="F20" s="7">
        <f t="shared" si="11"/>
        <v>3.0801264564903938</v>
      </c>
      <c r="G20" s="28">
        <f>L10/E10</f>
        <v>5975.3005482456138</v>
      </c>
    </row>
    <row r="21" spans="1:18" ht="20.100000000000001" customHeight="1" thickBot="1" x14ac:dyDescent="0.35">
      <c r="R21" s="96"/>
    </row>
    <row r="22" spans="1:18" ht="20.100000000000001" customHeight="1" thickBot="1" x14ac:dyDescent="0.35">
      <c r="B22" s="67" t="s">
        <v>37</v>
      </c>
      <c r="C22" s="108" t="s">
        <v>38</v>
      </c>
      <c r="D22" s="66" t="s">
        <v>23</v>
      </c>
      <c r="E22" s="239" t="s">
        <v>22</v>
      </c>
      <c r="F22" s="240"/>
      <c r="G22" s="229" t="s">
        <v>23</v>
      </c>
      <c r="H22" s="231"/>
      <c r="R22" s="96"/>
    </row>
    <row r="23" spans="1:18" ht="20.100000000000001" customHeight="1" x14ac:dyDescent="0.3">
      <c r="B23" s="59" t="s">
        <v>16</v>
      </c>
      <c r="C23" s="80">
        <v>211647</v>
      </c>
      <c r="D23" s="81">
        <v>1805706</v>
      </c>
      <c r="E23" s="74" t="s">
        <v>34</v>
      </c>
      <c r="F23" s="90">
        <f>C23</f>
        <v>211647</v>
      </c>
      <c r="G23" s="77" t="s">
        <v>34</v>
      </c>
      <c r="H23" s="87">
        <f>D23</f>
        <v>1805706</v>
      </c>
      <c r="L23" s="94"/>
      <c r="R23" s="96"/>
    </row>
    <row r="24" spans="1:18" ht="20.100000000000001" customHeight="1" x14ac:dyDescent="0.3">
      <c r="B24" s="60" t="s">
        <v>17</v>
      </c>
      <c r="C24" s="82">
        <v>57153</v>
      </c>
      <c r="D24" s="83">
        <v>833682</v>
      </c>
      <c r="E24" s="75" t="s">
        <v>33</v>
      </c>
      <c r="F24" s="91">
        <f>SUM(C24:C29)</f>
        <v>968474</v>
      </c>
      <c r="G24" s="78" t="s">
        <v>33</v>
      </c>
      <c r="H24" s="88">
        <f>SUM(D24:D29)</f>
        <v>7850869</v>
      </c>
      <c r="L24" s="94"/>
      <c r="R24" s="96"/>
    </row>
    <row r="25" spans="1:18" ht="20.100000000000001" customHeight="1" x14ac:dyDescent="0.3">
      <c r="B25" s="60" t="s">
        <v>18</v>
      </c>
      <c r="C25" s="82">
        <v>497781</v>
      </c>
      <c r="D25" s="83">
        <v>3672087</v>
      </c>
      <c r="E25" s="75" t="s">
        <v>21</v>
      </c>
      <c r="F25" s="91">
        <f>C30</f>
        <v>285</v>
      </c>
      <c r="G25" s="78" t="s">
        <v>21</v>
      </c>
      <c r="H25" s="88">
        <f>D30</f>
        <v>1732</v>
      </c>
      <c r="L25" s="94"/>
      <c r="Q25" s="96"/>
      <c r="R25" s="96"/>
    </row>
    <row r="26" spans="1:18" ht="20.100000000000001" customHeight="1" thickBot="1" x14ac:dyDescent="0.35">
      <c r="B26" s="60" t="s">
        <v>35</v>
      </c>
      <c r="C26" s="82">
        <v>82179</v>
      </c>
      <c r="D26" s="83">
        <v>1013155</v>
      </c>
      <c r="E26" s="76" t="s">
        <v>24</v>
      </c>
      <c r="F26" s="92">
        <f>C31</f>
        <v>0</v>
      </c>
      <c r="G26" s="79" t="s">
        <v>24</v>
      </c>
      <c r="H26" s="89">
        <f>D31</f>
        <v>63299</v>
      </c>
      <c r="L26" s="94"/>
      <c r="Q26" s="96"/>
      <c r="R26" s="96"/>
    </row>
    <row r="27" spans="1:18" ht="20.100000000000001" customHeight="1" thickBot="1" x14ac:dyDescent="0.35">
      <c r="B27" s="60" t="s">
        <v>36</v>
      </c>
      <c r="C27" s="82">
        <v>110995</v>
      </c>
      <c r="D27" s="83">
        <v>702916</v>
      </c>
      <c r="E27" s="71" t="s">
        <v>2</v>
      </c>
      <c r="F27" s="93">
        <f>SUM(F23:F26)</f>
        <v>1180406</v>
      </c>
      <c r="G27" s="73" t="s">
        <v>2</v>
      </c>
      <c r="H27" s="72">
        <f>SUM(H23:H26)</f>
        <v>9721606</v>
      </c>
      <c r="Q27" s="96"/>
      <c r="R27" s="96"/>
    </row>
    <row r="28" spans="1:18" ht="20.100000000000001" customHeight="1" x14ac:dyDescent="0.3">
      <c r="B28" s="60" t="s">
        <v>19</v>
      </c>
      <c r="C28" s="82">
        <v>142345</v>
      </c>
      <c r="D28" s="83">
        <v>857662</v>
      </c>
      <c r="E28" s="56"/>
      <c r="F28" s="56"/>
      <c r="G28" s="56"/>
      <c r="H28" s="56"/>
      <c r="Q28" s="96"/>
      <c r="R28" s="96"/>
    </row>
    <row r="29" spans="1:18" ht="20.100000000000001" customHeight="1" x14ac:dyDescent="0.3">
      <c r="B29" s="60" t="s">
        <v>20</v>
      </c>
      <c r="C29" s="82">
        <v>78021</v>
      </c>
      <c r="D29" s="83">
        <v>771367</v>
      </c>
      <c r="E29" s="56"/>
      <c r="F29" s="56"/>
      <c r="G29" s="56"/>
      <c r="H29" s="56"/>
      <c r="Q29" s="96"/>
    </row>
    <row r="30" spans="1:18" ht="20.100000000000001" customHeight="1" x14ac:dyDescent="0.3">
      <c r="B30" s="60" t="s">
        <v>21</v>
      </c>
      <c r="C30" s="82">
        <v>285</v>
      </c>
      <c r="D30" s="83">
        <v>1732</v>
      </c>
      <c r="E30" s="56"/>
      <c r="F30" s="56"/>
      <c r="G30" s="56"/>
      <c r="H30" s="56"/>
      <c r="Q30" s="96"/>
    </row>
    <row r="31" spans="1:18" ht="20.100000000000001" customHeight="1" thickBot="1" x14ac:dyDescent="0.35">
      <c r="B31" s="61" t="s">
        <v>24</v>
      </c>
      <c r="C31" s="84">
        <v>0</v>
      </c>
      <c r="D31" s="85">
        <v>63299</v>
      </c>
      <c r="E31" s="56"/>
      <c r="F31" s="56"/>
      <c r="G31" s="56"/>
      <c r="H31" s="56"/>
      <c r="Q31" s="96"/>
    </row>
    <row r="32" spans="1:18" ht="20.100000000000001" customHeight="1" thickBot="1" x14ac:dyDescent="0.35">
      <c r="B32" s="57" t="s">
        <v>2</v>
      </c>
      <c r="C32" s="86">
        <f>SUM(C23:C31)</f>
        <v>1180406</v>
      </c>
      <c r="D32" s="86">
        <f>SUM(D23:D31)</f>
        <v>9721606</v>
      </c>
      <c r="E32" s="58">
        <f>C32/D32</f>
        <v>0.12142088457400968</v>
      </c>
      <c r="F32" s="56"/>
      <c r="G32" s="56"/>
      <c r="H32" s="56"/>
      <c r="Q32" s="96"/>
    </row>
    <row r="33" spans="3:17" ht="20.100000000000001" customHeight="1" x14ac:dyDescent="0.3">
      <c r="C33" s="2"/>
      <c r="D33" s="2">
        <v>1541</v>
      </c>
      <c r="Q33" s="96"/>
    </row>
    <row r="34" spans="3:17" ht="20.100000000000001" customHeight="1" x14ac:dyDescent="0.3">
      <c r="Q34" s="96"/>
    </row>
  </sheetData>
  <mergeCells count="9">
    <mergeCell ref="L1:M1"/>
    <mergeCell ref="Q1:R1"/>
    <mergeCell ref="S1:T1"/>
    <mergeCell ref="A12:B12"/>
    <mergeCell ref="E22:F22"/>
    <mergeCell ref="G22:H22"/>
    <mergeCell ref="A1:B2"/>
    <mergeCell ref="C1:F1"/>
    <mergeCell ref="G1:H1"/>
  </mergeCells>
  <pageMargins left="0.511811024" right="0.511811024" top="0.78740157499999996" bottom="0.78740157499999996" header="0.31496062000000002" footer="0.31496062000000002"/>
  <pageSetup paperSize="9" scale="93" orientation="landscape" r:id="rId1"/>
  <rowBreaks count="1" manualBreakCount="1">
    <brk id="21" max="1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1AAC9-885F-4A3B-978C-0E4930EA8F93}">
  <sheetPr>
    <tabColor rgb="FF00B050"/>
  </sheetPr>
  <dimension ref="A1:T34"/>
  <sheetViews>
    <sheetView topLeftCell="A19" zoomScaleNormal="100" workbookViewId="0">
      <selection activeCell="L14" sqref="L14"/>
    </sheetView>
  </sheetViews>
  <sheetFormatPr defaultRowHeight="20.100000000000001" customHeight="1" x14ac:dyDescent="0.3"/>
  <cols>
    <col min="1" max="1" width="4.6640625" style="1" customWidth="1"/>
    <col min="2" max="2" width="18.5546875" bestFit="1" customWidth="1"/>
    <col min="3" max="3" width="10.5546875" bestFit="1" customWidth="1"/>
    <col min="4" max="4" width="10.109375" bestFit="1" customWidth="1"/>
    <col min="6" max="6" width="9.5546875" bestFit="1" customWidth="1"/>
    <col min="8" max="8" width="10.109375" bestFit="1" customWidth="1"/>
    <col min="9" max="11" width="9.109375" hidden="1" customWidth="1"/>
    <col min="12" max="12" width="11.6640625" bestFit="1" customWidth="1"/>
    <col min="13" max="13" width="9.33203125" customWidth="1"/>
    <col min="14" max="15" width="9.109375" hidden="1" customWidth="1"/>
    <col min="16" max="16" width="8.109375" hidden="1" customWidth="1"/>
    <col min="18" max="18" width="10.109375" bestFit="1" customWidth="1"/>
    <col min="19" max="19" width="15.88671875" bestFit="1" customWidth="1"/>
    <col min="21" max="21" width="18.5546875" bestFit="1" customWidth="1"/>
    <col min="22" max="22" width="15.88671875" bestFit="1" customWidth="1"/>
    <col min="24" max="24" width="10.109375" bestFit="1" customWidth="1"/>
  </cols>
  <sheetData>
    <row r="1" spans="1:20" ht="20.100000000000001" customHeight="1" thickBot="1" x14ac:dyDescent="0.35">
      <c r="A1" s="232" t="s">
        <v>0</v>
      </c>
      <c r="B1" s="233"/>
      <c r="C1" s="225" t="s">
        <v>1</v>
      </c>
      <c r="D1" s="236"/>
      <c r="E1" s="236"/>
      <c r="F1" s="226"/>
      <c r="G1" s="225" t="s">
        <v>5</v>
      </c>
      <c r="H1" s="226"/>
      <c r="I1" s="68"/>
      <c r="J1" s="69"/>
      <c r="K1" s="70"/>
      <c r="L1" s="225" t="s">
        <v>11</v>
      </c>
      <c r="M1" s="226"/>
      <c r="N1" s="122"/>
      <c r="O1" s="122"/>
      <c r="P1" s="122"/>
      <c r="Q1" s="225" t="s">
        <v>10</v>
      </c>
      <c r="R1" s="226"/>
      <c r="S1" s="225" t="s">
        <v>9</v>
      </c>
      <c r="T1" s="226"/>
    </row>
    <row r="2" spans="1:20" ht="20.100000000000001" customHeight="1" thickBot="1" x14ac:dyDescent="0.35">
      <c r="A2" s="234"/>
      <c r="B2" s="235"/>
      <c r="C2" s="106" t="s">
        <v>2</v>
      </c>
      <c r="D2" s="106" t="s">
        <v>3</v>
      </c>
      <c r="E2" s="106" t="s">
        <v>4</v>
      </c>
      <c r="F2" s="106" t="s">
        <v>3</v>
      </c>
      <c r="G2" s="106" t="s">
        <v>4</v>
      </c>
      <c r="H2" s="106" t="s">
        <v>3</v>
      </c>
      <c r="I2" s="22" t="s">
        <v>6</v>
      </c>
      <c r="J2" s="23" t="s">
        <v>7</v>
      </c>
      <c r="K2" s="24" t="s">
        <v>8</v>
      </c>
      <c r="L2" s="106" t="s">
        <v>4</v>
      </c>
      <c r="M2" s="107" t="s">
        <v>3</v>
      </c>
      <c r="N2" s="111" t="s">
        <v>6</v>
      </c>
      <c r="O2" s="112" t="s">
        <v>7</v>
      </c>
      <c r="P2" s="113" t="s">
        <v>8</v>
      </c>
      <c r="Q2" s="106" t="s">
        <v>4</v>
      </c>
      <c r="R2" s="106" t="s">
        <v>3</v>
      </c>
      <c r="S2" s="106" t="s">
        <v>4</v>
      </c>
      <c r="T2" s="106" t="s">
        <v>3</v>
      </c>
    </row>
    <row r="3" spans="1:20" ht="20.100000000000001" customHeight="1" x14ac:dyDescent="0.3">
      <c r="A3" s="10">
        <v>1</v>
      </c>
      <c r="B3" s="129" t="s">
        <v>26</v>
      </c>
      <c r="C3" s="41">
        <v>22</v>
      </c>
      <c r="D3" s="34">
        <f t="shared" ref="D3:D9" si="0">C3/C$10</f>
        <v>8.5603112840466927E-2</v>
      </c>
      <c r="E3" s="35">
        <v>13.2</v>
      </c>
      <c r="F3" s="63">
        <f t="shared" ref="F3:F9" si="1">E3/E$10</f>
        <v>8.1081081081081086E-2</v>
      </c>
      <c r="G3" s="44">
        <f>((I3*20)+(J3*5)+(K3*5))</f>
        <v>2028.6666666666665</v>
      </c>
      <c r="H3" s="30">
        <f t="shared" ref="H3:H9" si="2">G3/G$10</f>
        <v>9.2486497822327457E-2</v>
      </c>
      <c r="I3" s="97">
        <v>78.599999999999994</v>
      </c>
      <c r="J3" s="98">
        <v>63.666666666666664</v>
      </c>
      <c r="K3" s="99">
        <v>27.666666666666668</v>
      </c>
      <c r="L3" s="50">
        <f>((N3*19)+(O3*5)+(P3*5))</f>
        <v>70698.463333333319</v>
      </c>
      <c r="M3" s="30">
        <f t="shared" ref="M3:M9" si="3">L3/L$10</f>
        <v>7.3531157038354916E-2</v>
      </c>
      <c r="N3" s="130">
        <v>2823.0199999999995</v>
      </c>
      <c r="O3" s="131">
        <v>2344.1333333333332</v>
      </c>
      <c r="P3" s="53">
        <v>1068.0833333333333</v>
      </c>
      <c r="Q3" s="44">
        <v>96938</v>
      </c>
      <c r="R3" s="116">
        <f>Q3/Q$10</f>
        <v>7.3089099818366754E-2</v>
      </c>
      <c r="S3" s="117">
        <v>277656.75</v>
      </c>
      <c r="T3" s="30">
        <f t="shared" ref="T3:T9" si="4">S3/S$10</f>
        <v>7.2167396218029131E-2</v>
      </c>
    </row>
    <row r="4" spans="1:20" ht="20.100000000000001" customHeight="1" x14ac:dyDescent="0.3">
      <c r="A4" s="14">
        <v>2</v>
      </c>
      <c r="B4" s="125" t="s">
        <v>27</v>
      </c>
      <c r="C4" s="42">
        <v>37</v>
      </c>
      <c r="D4" s="36">
        <f t="shared" si="0"/>
        <v>0.14396887159533073</v>
      </c>
      <c r="E4" s="37">
        <v>27</v>
      </c>
      <c r="F4" s="64">
        <f t="shared" si="1"/>
        <v>0.16584766584766586</v>
      </c>
      <c r="G4" s="45">
        <f t="shared" ref="G4:G9" si="5">((I4*19)+(J4*5)+(K4*5))</f>
        <v>3515.2666666666664</v>
      </c>
      <c r="H4" s="31">
        <f t="shared" si="2"/>
        <v>0.16026028733728243</v>
      </c>
      <c r="I4" s="100">
        <v>139.4</v>
      </c>
      <c r="J4" s="101">
        <v>127</v>
      </c>
      <c r="K4" s="102">
        <v>46.333333333333336</v>
      </c>
      <c r="L4" s="51">
        <f t="shared" ref="L4:L9" si="6">((N4*19)+(O4*5)+(P4*5))</f>
        <v>148434.67000000001</v>
      </c>
      <c r="M4" s="31">
        <f t="shared" si="3"/>
        <v>0.15438204050130075</v>
      </c>
      <c r="N4" s="132">
        <v>5935.68</v>
      </c>
      <c r="O4" s="133">
        <v>5279.4000000000005</v>
      </c>
      <c r="P4" s="54">
        <v>1851.95</v>
      </c>
      <c r="Q4" s="45">
        <v>205064</v>
      </c>
      <c r="R4" s="118">
        <f t="shared" ref="R4:R9" si="7">Q4/Q$10</f>
        <v>0.15461370324489426</v>
      </c>
      <c r="S4" s="119">
        <v>606453.75</v>
      </c>
      <c r="T4" s="31">
        <f t="shared" si="4"/>
        <v>0.15762695509530952</v>
      </c>
    </row>
    <row r="5" spans="1:20" ht="20.100000000000001" customHeight="1" x14ac:dyDescent="0.3">
      <c r="A5" s="14">
        <v>3</v>
      </c>
      <c r="B5" s="125" t="s">
        <v>30</v>
      </c>
      <c r="C5" s="42">
        <v>20</v>
      </c>
      <c r="D5" s="36">
        <f t="shared" si="0"/>
        <v>7.7821011673151752E-2</v>
      </c>
      <c r="E5" s="37">
        <v>12</v>
      </c>
      <c r="F5" s="64">
        <f t="shared" si="1"/>
        <v>7.3710073710073723E-2</v>
      </c>
      <c r="G5" s="45">
        <f t="shared" si="5"/>
        <v>1548.5333333333333</v>
      </c>
      <c r="H5" s="31">
        <f t="shared" si="2"/>
        <v>7.0597317496451609E-2</v>
      </c>
      <c r="I5" s="100">
        <v>60.8</v>
      </c>
      <c r="J5" s="101">
        <v>55.666666666666664</v>
      </c>
      <c r="K5" s="102">
        <v>23</v>
      </c>
      <c r="L5" s="51">
        <f t="shared" si="6"/>
        <v>82693.743333333332</v>
      </c>
      <c r="M5" s="31">
        <f t="shared" si="3"/>
        <v>8.6007055039707597E-2</v>
      </c>
      <c r="N5" s="132">
        <v>3177.64</v>
      </c>
      <c r="O5" s="133">
        <v>3107.1833333333329</v>
      </c>
      <c r="P5" s="54">
        <v>1356.5333333333335</v>
      </c>
      <c r="Q5" s="45">
        <v>91835</v>
      </c>
      <c r="R5" s="118">
        <f>Q6/Q$10</f>
        <v>0.42746318891893909</v>
      </c>
      <c r="S5" s="119">
        <v>260700.75</v>
      </c>
      <c r="T5" s="31">
        <f t="shared" si="4"/>
        <v>6.7760262696971552E-2</v>
      </c>
    </row>
    <row r="6" spans="1:20" ht="20.100000000000001" customHeight="1" x14ac:dyDescent="0.3">
      <c r="A6" s="14">
        <v>4</v>
      </c>
      <c r="B6" s="125" t="s">
        <v>28</v>
      </c>
      <c r="C6" s="42">
        <v>96</v>
      </c>
      <c r="D6" s="36">
        <f t="shared" si="0"/>
        <v>0.37354085603112841</v>
      </c>
      <c r="E6" s="37">
        <v>65.8</v>
      </c>
      <c r="F6" s="64">
        <f t="shared" si="1"/>
        <v>0.40417690417690422</v>
      </c>
      <c r="G6" s="45">
        <f t="shared" si="5"/>
        <v>8507.3333333333321</v>
      </c>
      <c r="H6" s="31">
        <f t="shared" si="2"/>
        <v>0.38784758419675341</v>
      </c>
      <c r="I6" s="100">
        <v>321</v>
      </c>
      <c r="J6" s="101">
        <v>293.33333333333331</v>
      </c>
      <c r="K6" s="102">
        <v>188.33333333333334</v>
      </c>
      <c r="L6" s="51">
        <f t="shared" si="6"/>
        <v>420802.93333333335</v>
      </c>
      <c r="M6" s="31">
        <f t="shared" si="3"/>
        <v>0.43766335383056282</v>
      </c>
      <c r="N6" s="132">
        <v>15864.9</v>
      </c>
      <c r="O6" s="133">
        <v>14340.633333333333</v>
      </c>
      <c r="P6" s="54">
        <v>9533.3333333333339</v>
      </c>
      <c r="Q6" s="45">
        <v>566944</v>
      </c>
      <c r="R6" s="118">
        <f>Q7/Q$10</f>
        <v>6.904325495231467E-2</v>
      </c>
      <c r="S6" s="119">
        <v>1671921</v>
      </c>
      <c r="T6" s="31">
        <f t="shared" si="4"/>
        <v>0.43455880417905735</v>
      </c>
    </row>
    <row r="7" spans="1:20" ht="20.100000000000001" customHeight="1" x14ac:dyDescent="0.3">
      <c r="A7" s="14">
        <v>5</v>
      </c>
      <c r="B7" s="125" t="s">
        <v>29</v>
      </c>
      <c r="C7" s="42">
        <v>22</v>
      </c>
      <c r="D7" s="36">
        <f t="shared" si="0"/>
        <v>8.5603112840466927E-2</v>
      </c>
      <c r="E7" s="37">
        <v>11.6</v>
      </c>
      <c r="F7" s="64">
        <f t="shared" si="1"/>
        <v>7.125307125307126E-2</v>
      </c>
      <c r="G7" s="45">
        <f t="shared" si="5"/>
        <v>1734.6666666666667</v>
      </c>
      <c r="H7" s="31">
        <f t="shared" si="2"/>
        <v>7.9083098039334887E-2</v>
      </c>
      <c r="I7" s="100">
        <v>67</v>
      </c>
      <c r="J7" s="101">
        <v>61.333333333333336</v>
      </c>
      <c r="K7" s="102">
        <v>31</v>
      </c>
      <c r="L7" s="51">
        <f t="shared" si="6"/>
        <v>63728.693333333322</v>
      </c>
      <c r="M7" s="31">
        <f t="shared" si="3"/>
        <v>6.6282127452310435E-2</v>
      </c>
      <c r="N7" s="132">
        <v>2487.1899999999996</v>
      </c>
      <c r="O7" s="133">
        <v>2172.1833333333329</v>
      </c>
      <c r="P7" s="54">
        <v>1122.2333333333333</v>
      </c>
      <c r="Q7" s="45">
        <v>91572</v>
      </c>
      <c r="R7" s="118">
        <f>Q5/Q$10</f>
        <v>6.9241551113285921E-2</v>
      </c>
      <c r="S7" s="119">
        <v>257343.75</v>
      </c>
      <c r="T7" s="31">
        <f t="shared" si="4"/>
        <v>6.6887725115573213E-2</v>
      </c>
    </row>
    <row r="8" spans="1:20" ht="20.100000000000001" customHeight="1" x14ac:dyDescent="0.3">
      <c r="A8" s="14">
        <v>6</v>
      </c>
      <c r="B8" s="125" t="s">
        <v>31</v>
      </c>
      <c r="C8" s="42">
        <v>53</v>
      </c>
      <c r="D8" s="36">
        <f t="shared" si="0"/>
        <v>0.20622568093385213</v>
      </c>
      <c r="E8" s="37">
        <v>30.6</v>
      </c>
      <c r="F8" s="64">
        <f t="shared" si="1"/>
        <v>0.18796068796068799</v>
      </c>
      <c r="G8" s="45">
        <f t="shared" si="5"/>
        <v>4322.666666666667</v>
      </c>
      <c r="H8" s="31">
        <f t="shared" si="2"/>
        <v>0.19706948796581378</v>
      </c>
      <c r="I8" s="100">
        <v>169</v>
      </c>
      <c r="J8" s="101">
        <v>146.33333333333334</v>
      </c>
      <c r="K8" s="102">
        <v>76</v>
      </c>
      <c r="L8" s="51">
        <f t="shared" si="6"/>
        <v>158708.87666666665</v>
      </c>
      <c r="M8" s="31">
        <f t="shared" si="3"/>
        <v>0.16506790647676364</v>
      </c>
      <c r="N8" s="132">
        <v>6237.8399999999992</v>
      </c>
      <c r="O8" s="133">
        <v>5236.0333333333328</v>
      </c>
      <c r="P8" s="54">
        <v>2801.9499999999994</v>
      </c>
      <c r="Q8" s="45">
        <v>248979</v>
      </c>
      <c r="R8" s="118">
        <f t="shared" si="7"/>
        <v>0.18772463826030178</v>
      </c>
      <c r="S8" s="119">
        <v>700443</v>
      </c>
      <c r="T8" s="31">
        <f t="shared" si="4"/>
        <v>0.18205625294232888</v>
      </c>
    </row>
    <row r="9" spans="1:20" ht="20.100000000000001" customHeight="1" thickBot="1" x14ac:dyDescent="0.35">
      <c r="A9" s="15">
        <v>7</v>
      </c>
      <c r="B9" s="40" t="s">
        <v>32</v>
      </c>
      <c r="C9" s="43">
        <v>7</v>
      </c>
      <c r="D9" s="38">
        <f t="shared" si="0"/>
        <v>2.7237354085603113E-2</v>
      </c>
      <c r="E9" s="39">
        <v>2.6</v>
      </c>
      <c r="F9" s="65">
        <f t="shared" si="1"/>
        <v>1.5970515970515974E-2</v>
      </c>
      <c r="G9" s="46">
        <f t="shared" si="5"/>
        <v>277.60000000000002</v>
      </c>
      <c r="H9" s="33">
        <f t="shared" si="2"/>
        <v>1.265572714203653E-2</v>
      </c>
      <c r="I9" s="103">
        <v>10.4</v>
      </c>
      <c r="J9" s="104">
        <v>10.666666666666666</v>
      </c>
      <c r="K9" s="105">
        <v>5.333333333333333</v>
      </c>
      <c r="L9" s="52">
        <f t="shared" si="6"/>
        <v>16408.900000000001</v>
      </c>
      <c r="M9" s="33">
        <f t="shared" si="3"/>
        <v>1.7066359660999644E-2</v>
      </c>
      <c r="N9" s="134">
        <v>583.6</v>
      </c>
      <c r="O9" s="135">
        <v>702.36666666666667</v>
      </c>
      <c r="P9" s="55">
        <v>361.73333333333335</v>
      </c>
      <c r="Q9" s="46">
        <v>24967</v>
      </c>
      <c r="R9" s="120">
        <f t="shared" si="7"/>
        <v>1.8824563691897528E-2</v>
      </c>
      <c r="S9" s="121">
        <v>72879.75</v>
      </c>
      <c r="T9" s="33">
        <f t="shared" si="4"/>
        <v>1.8942603752730335E-2</v>
      </c>
    </row>
    <row r="10" spans="1:20" ht="20.100000000000001" customHeight="1" thickBot="1" x14ac:dyDescent="0.35">
      <c r="C10" s="25">
        <f>SUM(C3:C9)</f>
        <v>257</v>
      </c>
      <c r="E10" s="26">
        <f>SUM(E3:E9)</f>
        <v>162.79999999999998</v>
      </c>
      <c r="G10" s="27">
        <f>SUM(G3:G9)</f>
        <v>21934.73333333333</v>
      </c>
      <c r="L10" s="28">
        <f>SUM(L3:L9)</f>
        <v>961476.28000000014</v>
      </c>
      <c r="N10" s="28">
        <f>SUM(N3:N9)</f>
        <v>37109.869999999995</v>
      </c>
      <c r="Q10" s="27">
        <f>SUM(Q3:Q9)</f>
        <v>1326299</v>
      </c>
      <c r="S10" s="6">
        <f>SUM(S3:S9)</f>
        <v>3847398.75</v>
      </c>
    </row>
    <row r="11" spans="1:20" ht="20.100000000000001" customHeight="1" thickBot="1" x14ac:dyDescent="0.35"/>
    <row r="12" spans="1:20" ht="20.100000000000001" customHeight="1" thickBot="1" x14ac:dyDescent="0.35">
      <c r="A12" s="227" t="s">
        <v>0</v>
      </c>
      <c r="B12" s="228"/>
      <c r="C12" s="138" t="s">
        <v>12</v>
      </c>
      <c r="D12" s="136" t="s">
        <v>13</v>
      </c>
      <c r="E12" s="136" t="s">
        <v>14</v>
      </c>
      <c r="F12" s="139" t="s">
        <v>15</v>
      </c>
      <c r="G12" s="136" t="s">
        <v>25</v>
      </c>
      <c r="L12" s="95"/>
      <c r="M12" s="62"/>
    </row>
    <row r="13" spans="1:20" ht="20.100000000000001" customHeight="1" x14ac:dyDescent="0.3">
      <c r="A13" s="126">
        <v>1</v>
      </c>
      <c r="B13" s="41" t="s">
        <v>26</v>
      </c>
      <c r="C13" s="11">
        <f>Q3/L3</f>
        <v>1.3711471993804301</v>
      </c>
      <c r="D13" s="12">
        <f>(S3/4.5)/L3</f>
        <v>0.87274174134572202</v>
      </c>
      <c r="E13" s="11">
        <f>S3/L3</f>
        <v>3.9273378360557492</v>
      </c>
      <c r="F13" s="13">
        <f>S3/Q3</f>
        <v>2.8642714931193134</v>
      </c>
      <c r="G13" s="19">
        <f>L3/E3</f>
        <v>5355.9441919191913</v>
      </c>
      <c r="L13" s="2"/>
    </row>
    <row r="14" spans="1:20" ht="20.100000000000001" customHeight="1" x14ac:dyDescent="0.3">
      <c r="A14" s="127">
        <v>2</v>
      </c>
      <c r="B14" s="42" t="s">
        <v>27</v>
      </c>
      <c r="C14" s="3">
        <f t="shared" ref="C14:C20" si="8">Q4/L4</f>
        <v>1.3815101283278359</v>
      </c>
      <c r="D14" s="8">
        <f t="shared" ref="D14:D19" si="9">(S4/4.5)/L4</f>
        <v>0.90792467824397083</v>
      </c>
      <c r="E14" s="3">
        <f t="shared" ref="E14:E20" si="10">S4/L4</f>
        <v>4.0856610520978691</v>
      </c>
      <c r="F14" s="9">
        <f t="shared" ref="F14:F20" si="11">S4/Q4</f>
        <v>2.9573876935980961</v>
      </c>
      <c r="G14" s="20">
        <f t="shared" ref="G14:G19" si="12">L4/E4</f>
        <v>5497.5803703703705</v>
      </c>
    </row>
    <row r="15" spans="1:20" ht="20.100000000000001" customHeight="1" x14ac:dyDescent="0.3">
      <c r="A15" s="127">
        <v>3</v>
      </c>
      <c r="B15" s="42" t="s">
        <v>30</v>
      </c>
      <c r="C15" s="3">
        <f t="shared" si="8"/>
        <v>1.1105435102849175</v>
      </c>
      <c r="D15" s="8">
        <f t="shared" si="9"/>
        <v>0.70057899987032479</v>
      </c>
      <c r="E15" s="3">
        <f t="shared" si="10"/>
        <v>3.1526054994164614</v>
      </c>
      <c r="F15" s="9">
        <f t="shared" si="11"/>
        <v>2.838795121685632</v>
      </c>
      <c r="G15" s="20">
        <f t="shared" si="12"/>
        <v>6891.1452777777777</v>
      </c>
    </row>
    <row r="16" spans="1:20" ht="20.100000000000001" customHeight="1" x14ac:dyDescent="0.3">
      <c r="A16" s="127">
        <v>4</v>
      </c>
      <c r="B16" s="42" t="s">
        <v>28</v>
      </c>
      <c r="C16" s="3">
        <f t="shared" si="8"/>
        <v>1.3472909884658599</v>
      </c>
      <c r="D16" s="8">
        <f t="shared" si="9"/>
        <v>0.88292635475925074</v>
      </c>
      <c r="E16" s="3">
        <f t="shared" si="10"/>
        <v>3.9731685964166283</v>
      </c>
      <c r="F16" s="9">
        <f t="shared" si="11"/>
        <v>2.9490055455212509</v>
      </c>
      <c r="G16" s="20">
        <f t="shared" si="12"/>
        <v>6395.1813576494433</v>
      </c>
    </row>
    <row r="17" spans="1:18" ht="20.100000000000001" customHeight="1" x14ac:dyDescent="0.3">
      <c r="A17" s="127">
        <v>5</v>
      </c>
      <c r="B17" s="42" t="s">
        <v>29</v>
      </c>
      <c r="C17" s="3">
        <f t="shared" si="8"/>
        <v>1.436903774584426</v>
      </c>
      <c r="D17" s="8">
        <f t="shared" si="9"/>
        <v>0.89735874076187994</v>
      </c>
      <c r="E17" s="3">
        <f t="shared" si="10"/>
        <v>4.0381143334284593</v>
      </c>
      <c r="F17" s="9">
        <f t="shared" si="11"/>
        <v>2.8102886253439916</v>
      </c>
      <c r="G17" s="20">
        <f t="shared" si="12"/>
        <v>5493.8528735632171</v>
      </c>
    </row>
    <row r="18" spans="1:18" ht="20.100000000000001" customHeight="1" x14ac:dyDescent="0.3">
      <c r="A18" s="127">
        <v>6</v>
      </c>
      <c r="B18" s="42" t="s">
        <v>31</v>
      </c>
      <c r="C18" s="3">
        <f t="shared" si="8"/>
        <v>1.5687780370528741</v>
      </c>
      <c r="D18" s="8">
        <f t="shared" si="9"/>
        <v>0.98075169624517755</v>
      </c>
      <c r="E18" s="3">
        <f t="shared" si="10"/>
        <v>4.413382633103299</v>
      </c>
      <c r="F18" s="9">
        <f t="shared" si="11"/>
        <v>2.8132613593917561</v>
      </c>
      <c r="G18" s="20">
        <f t="shared" si="12"/>
        <v>5186.5645969498901</v>
      </c>
    </row>
    <row r="19" spans="1:18" ht="20.100000000000001" customHeight="1" thickBot="1" x14ac:dyDescent="0.35">
      <c r="A19" s="128">
        <v>7</v>
      </c>
      <c r="B19" s="43" t="s">
        <v>32</v>
      </c>
      <c r="C19" s="16">
        <f t="shared" si="8"/>
        <v>1.5215523283096366</v>
      </c>
      <c r="D19" s="17">
        <f t="shared" si="9"/>
        <v>0.98699486254410707</v>
      </c>
      <c r="E19" s="16">
        <f t="shared" si="10"/>
        <v>4.441476881448482</v>
      </c>
      <c r="F19" s="18">
        <f t="shared" si="11"/>
        <v>2.9190431369407617</v>
      </c>
      <c r="G19" s="21">
        <f t="shared" si="12"/>
        <v>6311.1153846153848</v>
      </c>
    </row>
    <row r="20" spans="1:18" ht="20.100000000000001" customHeight="1" thickBot="1" x14ac:dyDescent="0.35">
      <c r="A20" s="114"/>
      <c r="B20" s="115"/>
      <c r="C20" s="5">
        <f t="shared" si="8"/>
        <v>1.3794401667402547</v>
      </c>
      <c r="D20" s="5">
        <f>(S10/4.5)/L10</f>
        <v>0.88923410570253469</v>
      </c>
      <c r="E20" s="6">
        <f t="shared" si="10"/>
        <v>4.0015534756614066</v>
      </c>
      <c r="F20" s="7">
        <f t="shared" si="11"/>
        <v>2.9008532389755253</v>
      </c>
      <c r="G20" s="28">
        <f>L10/E10</f>
        <v>5905.8739557739573</v>
      </c>
    </row>
    <row r="21" spans="1:18" ht="20.100000000000001" customHeight="1" thickBot="1" x14ac:dyDescent="0.35">
      <c r="R21" s="96"/>
    </row>
    <row r="22" spans="1:18" ht="20.100000000000001" customHeight="1" thickBot="1" x14ac:dyDescent="0.35">
      <c r="B22" s="67" t="s">
        <v>37</v>
      </c>
      <c r="C22" s="137" t="s">
        <v>38</v>
      </c>
      <c r="D22" s="66" t="s">
        <v>23</v>
      </c>
      <c r="E22" s="242" t="s">
        <v>22</v>
      </c>
      <c r="F22" s="243"/>
      <c r="G22" s="229" t="s">
        <v>23</v>
      </c>
      <c r="H22" s="231"/>
      <c r="R22" s="96"/>
    </row>
    <row r="23" spans="1:18" ht="20.100000000000001" customHeight="1" x14ac:dyDescent="0.3">
      <c r="B23" s="59" t="s">
        <v>16</v>
      </c>
      <c r="C23" s="80">
        <v>222233</v>
      </c>
      <c r="D23" s="81">
        <v>1911640</v>
      </c>
      <c r="E23" s="74" t="s">
        <v>34</v>
      </c>
      <c r="F23" s="90">
        <f>C23</f>
        <v>222233</v>
      </c>
      <c r="G23" s="77" t="s">
        <v>34</v>
      </c>
      <c r="H23" s="87">
        <f>D23</f>
        <v>1911640</v>
      </c>
      <c r="L23" s="94"/>
      <c r="R23" s="96"/>
    </row>
    <row r="24" spans="1:18" ht="20.100000000000001" customHeight="1" x14ac:dyDescent="0.3">
      <c r="B24" s="60" t="s">
        <v>17</v>
      </c>
      <c r="C24" s="82">
        <v>63572</v>
      </c>
      <c r="D24" s="83">
        <v>931708</v>
      </c>
      <c r="E24" s="75" t="s">
        <v>33</v>
      </c>
      <c r="F24" s="91">
        <f>SUM(C24:C29)</f>
        <v>1103741</v>
      </c>
      <c r="G24" s="78" t="s">
        <v>33</v>
      </c>
      <c r="H24" s="88">
        <f>SUM(D24:D29)</f>
        <v>9002693</v>
      </c>
      <c r="L24" s="94"/>
      <c r="R24" s="96"/>
    </row>
    <row r="25" spans="1:18" ht="20.100000000000001" customHeight="1" x14ac:dyDescent="0.3">
      <c r="B25" s="60" t="s">
        <v>18</v>
      </c>
      <c r="C25" s="82">
        <v>525729</v>
      </c>
      <c r="D25" s="83">
        <v>3954314</v>
      </c>
      <c r="E25" s="75" t="s">
        <v>21</v>
      </c>
      <c r="F25" s="91">
        <f>C30</f>
        <v>325</v>
      </c>
      <c r="G25" s="78" t="s">
        <v>21</v>
      </c>
      <c r="H25" s="88">
        <f>D30</f>
        <v>39885</v>
      </c>
      <c r="L25" s="94"/>
      <c r="Q25" s="96"/>
      <c r="R25" s="96"/>
    </row>
    <row r="26" spans="1:18" ht="20.100000000000001" customHeight="1" thickBot="1" x14ac:dyDescent="0.35">
      <c r="B26" s="60" t="s">
        <v>35</v>
      </c>
      <c r="C26" s="82">
        <v>86237</v>
      </c>
      <c r="D26" s="83">
        <v>1091134</v>
      </c>
      <c r="E26" s="76" t="s">
        <v>24</v>
      </c>
      <c r="F26" s="92">
        <f>C31</f>
        <v>0</v>
      </c>
      <c r="G26" s="79" t="s">
        <v>24</v>
      </c>
      <c r="H26" s="89">
        <f>D31</f>
        <v>62491</v>
      </c>
      <c r="L26" s="94"/>
      <c r="Q26" s="96"/>
      <c r="R26" s="96"/>
    </row>
    <row r="27" spans="1:18" ht="20.100000000000001" customHeight="1" thickBot="1" x14ac:dyDescent="0.35">
      <c r="B27" s="60" t="s">
        <v>36</v>
      </c>
      <c r="C27" s="82">
        <v>193818</v>
      </c>
      <c r="D27" s="83">
        <v>1248279</v>
      </c>
      <c r="E27" s="71" t="s">
        <v>2</v>
      </c>
      <c r="F27" s="93">
        <f>SUM(F23:F26)</f>
        <v>1326299</v>
      </c>
      <c r="G27" s="73" t="s">
        <v>2</v>
      </c>
      <c r="H27" s="72">
        <f>SUM(H23:H26)</f>
        <v>11016709</v>
      </c>
      <c r="Q27" s="96"/>
      <c r="R27" s="96"/>
    </row>
    <row r="28" spans="1:18" ht="20.100000000000001" customHeight="1" x14ac:dyDescent="0.3">
      <c r="B28" s="60" t="s">
        <v>19</v>
      </c>
      <c r="C28" s="82">
        <v>149605</v>
      </c>
      <c r="D28" s="83">
        <v>929599</v>
      </c>
      <c r="E28" s="56"/>
      <c r="F28" s="56"/>
      <c r="G28" s="56"/>
      <c r="H28" s="56"/>
      <c r="Q28" s="96"/>
      <c r="R28" s="96"/>
    </row>
    <row r="29" spans="1:18" ht="20.100000000000001" customHeight="1" x14ac:dyDescent="0.3">
      <c r="B29" s="60" t="s">
        <v>20</v>
      </c>
      <c r="C29" s="82">
        <v>84780</v>
      </c>
      <c r="D29" s="83">
        <v>847659</v>
      </c>
      <c r="E29" s="56"/>
      <c r="F29" s="56"/>
      <c r="G29" s="56"/>
      <c r="H29" s="56"/>
      <c r="Q29" s="96"/>
    </row>
    <row r="30" spans="1:18" ht="20.100000000000001" customHeight="1" x14ac:dyDescent="0.3">
      <c r="B30" s="60" t="s">
        <v>21</v>
      </c>
      <c r="C30" s="82">
        <v>325</v>
      </c>
      <c r="D30" s="83">
        <v>39885</v>
      </c>
      <c r="E30" s="56"/>
      <c r="F30" s="56"/>
      <c r="G30" s="56"/>
      <c r="H30" s="56"/>
      <c r="Q30" s="96"/>
    </row>
    <row r="31" spans="1:18" ht="20.100000000000001" customHeight="1" thickBot="1" x14ac:dyDescent="0.35">
      <c r="B31" s="61" t="s">
        <v>24</v>
      </c>
      <c r="C31" s="84">
        <v>0</v>
      </c>
      <c r="D31" s="85">
        <v>62491</v>
      </c>
      <c r="E31" s="56"/>
      <c r="F31" s="56"/>
      <c r="G31" s="56"/>
      <c r="H31" s="56"/>
      <c r="Q31" s="96"/>
    </row>
    <row r="32" spans="1:18" ht="20.100000000000001" customHeight="1" thickBot="1" x14ac:dyDescent="0.35">
      <c r="B32" s="57" t="s">
        <v>2</v>
      </c>
      <c r="C32" s="86">
        <f>SUM(C23:C31)</f>
        <v>1326299</v>
      </c>
      <c r="D32" s="86">
        <f>SUM(D23:D31)</f>
        <v>11016709</v>
      </c>
      <c r="E32" s="58">
        <f>C32/D32</f>
        <v>0.12038976431164697</v>
      </c>
      <c r="F32" s="56"/>
      <c r="G32" s="56"/>
      <c r="H32" s="56"/>
      <c r="Q32" s="96"/>
    </row>
    <row r="33" spans="3:17" ht="20.100000000000001" customHeight="1" x14ac:dyDescent="0.3">
      <c r="C33" s="2"/>
      <c r="D33" s="2"/>
      <c r="Q33" s="96"/>
    </row>
    <row r="34" spans="3:17" ht="20.100000000000001" customHeight="1" x14ac:dyDescent="0.3">
      <c r="Q34" s="96"/>
    </row>
  </sheetData>
  <mergeCells count="9">
    <mergeCell ref="L1:M1"/>
    <mergeCell ref="Q1:R1"/>
    <mergeCell ref="S1:T1"/>
    <mergeCell ref="A12:B12"/>
    <mergeCell ref="E22:F22"/>
    <mergeCell ref="G22:H22"/>
    <mergeCell ref="A1:B2"/>
    <mergeCell ref="C1:F1"/>
    <mergeCell ref="G1:H1"/>
  </mergeCells>
  <pageMargins left="0.511811024" right="0.511811024" top="0.78740157499999996" bottom="0.78740157499999996" header="0.31496062000000002" footer="0.31496062000000002"/>
  <pageSetup paperSize="9" scale="93" orientation="landscape" r:id="rId1"/>
  <rowBreaks count="1" manualBreakCount="1">
    <brk id="21" max="19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40FB2-EC35-4A46-9566-2771121554DC}">
  <sheetPr>
    <tabColor rgb="FF00B050"/>
  </sheetPr>
  <dimension ref="A1:T34"/>
  <sheetViews>
    <sheetView topLeftCell="A22" zoomScaleNormal="100" workbookViewId="0">
      <selection activeCell="S3" sqref="S3:S9"/>
    </sheetView>
  </sheetViews>
  <sheetFormatPr defaultRowHeight="20.100000000000001" customHeight="1" x14ac:dyDescent="0.3"/>
  <cols>
    <col min="1" max="1" width="4.6640625" style="1" customWidth="1"/>
    <col min="2" max="2" width="18.5546875" bestFit="1" customWidth="1"/>
    <col min="3" max="3" width="10.5546875" bestFit="1" customWidth="1"/>
    <col min="4" max="4" width="10.109375" bestFit="1" customWidth="1"/>
    <col min="6" max="6" width="9.5546875" bestFit="1" customWidth="1"/>
    <col min="8" max="8" width="10.109375" bestFit="1" customWidth="1"/>
    <col min="9" max="11" width="9.109375" hidden="1" customWidth="1"/>
    <col min="12" max="12" width="11.6640625" bestFit="1" customWidth="1"/>
    <col min="13" max="13" width="9.33203125" customWidth="1"/>
    <col min="14" max="15" width="9.109375" hidden="1" customWidth="1"/>
    <col min="16" max="16" width="8.109375" hidden="1" customWidth="1"/>
    <col min="18" max="18" width="10.109375" bestFit="1" customWidth="1"/>
    <col min="19" max="19" width="15.88671875" bestFit="1" customWidth="1"/>
    <col min="21" max="21" width="18.5546875" bestFit="1" customWidth="1"/>
    <col min="22" max="22" width="15.88671875" bestFit="1" customWidth="1"/>
    <col min="24" max="24" width="10.109375" bestFit="1" customWidth="1"/>
  </cols>
  <sheetData>
    <row r="1" spans="1:20" ht="20.100000000000001" customHeight="1" thickBot="1" x14ac:dyDescent="0.35">
      <c r="A1" s="232" t="s">
        <v>0</v>
      </c>
      <c r="B1" s="233"/>
      <c r="C1" s="225" t="s">
        <v>1</v>
      </c>
      <c r="D1" s="236"/>
      <c r="E1" s="236"/>
      <c r="F1" s="226"/>
      <c r="G1" s="225" t="s">
        <v>5</v>
      </c>
      <c r="H1" s="226"/>
      <c r="I1" s="68"/>
      <c r="J1" s="69"/>
      <c r="K1" s="70"/>
      <c r="L1" s="225" t="s">
        <v>11</v>
      </c>
      <c r="M1" s="226"/>
      <c r="N1" s="122"/>
      <c r="O1" s="122"/>
      <c r="P1" s="122"/>
      <c r="Q1" s="225" t="s">
        <v>10</v>
      </c>
      <c r="R1" s="226"/>
      <c r="S1" s="225" t="s">
        <v>9</v>
      </c>
      <c r="T1" s="226"/>
    </row>
    <row r="2" spans="1:20" ht="20.100000000000001" customHeight="1" thickBot="1" x14ac:dyDescent="0.35">
      <c r="A2" s="234"/>
      <c r="B2" s="235"/>
      <c r="C2" s="106" t="s">
        <v>2</v>
      </c>
      <c r="D2" s="106" t="s">
        <v>3</v>
      </c>
      <c r="E2" s="106" t="s">
        <v>4</v>
      </c>
      <c r="F2" s="106" t="s">
        <v>3</v>
      </c>
      <c r="G2" s="106" t="s">
        <v>4</v>
      </c>
      <c r="H2" s="106" t="s">
        <v>3</v>
      </c>
      <c r="I2" s="22" t="s">
        <v>6</v>
      </c>
      <c r="J2" s="23" t="s">
        <v>7</v>
      </c>
      <c r="K2" s="24" t="s">
        <v>8</v>
      </c>
      <c r="L2" s="106" t="s">
        <v>4</v>
      </c>
      <c r="M2" s="107" t="s">
        <v>3</v>
      </c>
      <c r="N2" s="111" t="s">
        <v>6</v>
      </c>
      <c r="O2" s="112" t="s">
        <v>7</v>
      </c>
      <c r="P2" s="113" t="s">
        <v>8</v>
      </c>
      <c r="Q2" s="106" t="s">
        <v>4</v>
      </c>
      <c r="R2" s="106" t="s">
        <v>3</v>
      </c>
      <c r="S2" s="106" t="s">
        <v>4</v>
      </c>
      <c r="T2" s="106" t="s">
        <v>3</v>
      </c>
    </row>
    <row r="3" spans="1:20" ht="20.100000000000001" customHeight="1" x14ac:dyDescent="0.3">
      <c r="A3" s="10">
        <v>1</v>
      </c>
      <c r="B3" s="129" t="s">
        <v>26</v>
      </c>
      <c r="C3" s="41">
        <v>22</v>
      </c>
      <c r="D3" s="34">
        <f t="shared" ref="D3:D9" si="0">C3/C$10</f>
        <v>8.5603112840466927E-2</v>
      </c>
      <c r="E3" s="35">
        <v>12.75</v>
      </c>
      <c r="F3" s="63">
        <f t="shared" ref="F3:F9" si="1">E3/E$10</f>
        <v>7.8703703703703706E-2</v>
      </c>
      <c r="G3" s="44">
        <f>((I3*20)+(J3*5)+(K3*5))</f>
        <v>1765</v>
      </c>
      <c r="H3" s="30">
        <f t="shared" ref="H3:H9" si="2">G3/G$10</f>
        <v>8.2781262824646776E-2</v>
      </c>
      <c r="I3" s="97">
        <v>66.5</v>
      </c>
      <c r="J3" s="98">
        <v>62</v>
      </c>
      <c r="K3" s="99">
        <v>25</v>
      </c>
      <c r="L3" s="50">
        <f>((N3*19)+(O3*5)+(P3*5))</f>
        <v>62934.787499999999</v>
      </c>
      <c r="M3" s="30">
        <f t="shared" ref="M3:M9" si="3">L3/L$10</f>
        <v>6.5637350432789093E-2</v>
      </c>
      <c r="N3" s="130">
        <v>2490.7125000000001</v>
      </c>
      <c r="O3" s="131">
        <v>2247.5</v>
      </c>
      <c r="P3" s="53">
        <v>874.75</v>
      </c>
      <c r="Q3" s="44">
        <v>90588</v>
      </c>
      <c r="R3" s="116">
        <f>Q3/Q$10</f>
        <v>6.4786048986457498E-2</v>
      </c>
      <c r="S3" s="117">
        <v>251163</v>
      </c>
      <c r="T3" s="30">
        <f t="shared" ref="T3:T9" si="4">S3/S$10</f>
        <v>6.4303028627255801E-2</v>
      </c>
    </row>
    <row r="4" spans="1:20" ht="20.100000000000001" customHeight="1" x14ac:dyDescent="0.3">
      <c r="A4" s="14">
        <v>2</v>
      </c>
      <c r="B4" s="125" t="s">
        <v>27</v>
      </c>
      <c r="C4" s="42">
        <v>37</v>
      </c>
      <c r="D4" s="36">
        <f t="shared" si="0"/>
        <v>0.14396887159533073</v>
      </c>
      <c r="E4" s="37">
        <v>26</v>
      </c>
      <c r="F4" s="64">
        <f t="shared" si="1"/>
        <v>0.16049382716049382</v>
      </c>
      <c r="G4" s="45">
        <f t="shared" ref="G4:G9" si="5">((I4*19)+(J4*5)+(K4*5))</f>
        <v>3484.5</v>
      </c>
      <c r="H4" s="31">
        <f t="shared" si="2"/>
        <v>0.16342850442633522</v>
      </c>
      <c r="I4" s="100">
        <v>135.5</v>
      </c>
      <c r="J4" s="101">
        <v>127</v>
      </c>
      <c r="K4" s="102">
        <v>55</v>
      </c>
      <c r="L4" s="51">
        <f t="shared" ref="L4:L9" si="6">((N4*19)+(O4*5)+(P4*5))</f>
        <v>153823.92499999999</v>
      </c>
      <c r="M4" s="31">
        <f t="shared" si="3"/>
        <v>0.16042947424223949</v>
      </c>
      <c r="N4" s="132">
        <v>6044.0749999999998</v>
      </c>
      <c r="O4" s="133">
        <v>5482.2</v>
      </c>
      <c r="P4" s="54">
        <v>2315.1</v>
      </c>
      <c r="Q4" s="45">
        <v>215198</v>
      </c>
      <c r="R4" s="118">
        <f t="shared" ref="R4:R9" si="7">Q4/Q$10</f>
        <v>0.15390369772803991</v>
      </c>
      <c r="S4" s="119">
        <v>612643.5</v>
      </c>
      <c r="T4" s="31">
        <f t="shared" si="4"/>
        <v>0.15684966543162085</v>
      </c>
    </row>
    <row r="5" spans="1:20" ht="20.100000000000001" customHeight="1" x14ac:dyDescent="0.3">
      <c r="A5" s="14">
        <v>3</v>
      </c>
      <c r="B5" s="125" t="s">
        <v>30</v>
      </c>
      <c r="C5" s="42">
        <v>20</v>
      </c>
      <c r="D5" s="36">
        <f t="shared" si="0"/>
        <v>7.7821011673151752E-2</v>
      </c>
      <c r="E5" s="37">
        <v>10</v>
      </c>
      <c r="F5" s="64">
        <f t="shared" si="1"/>
        <v>6.1728395061728392E-2</v>
      </c>
      <c r="G5" s="45">
        <f t="shared" si="5"/>
        <v>1369</v>
      </c>
      <c r="H5" s="31">
        <f t="shared" si="2"/>
        <v>6.4208242950108463E-2</v>
      </c>
      <c r="I5" s="100">
        <v>51</v>
      </c>
      <c r="J5" s="101">
        <v>52</v>
      </c>
      <c r="K5" s="102">
        <v>28</v>
      </c>
      <c r="L5" s="51">
        <f t="shared" si="6"/>
        <v>78050.25</v>
      </c>
      <c r="M5" s="31">
        <f t="shared" si="3"/>
        <v>8.1401905275628322E-2</v>
      </c>
      <c r="N5" s="132">
        <v>2927.25</v>
      </c>
      <c r="O5" s="133">
        <v>2845.7</v>
      </c>
      <c r="P5" s="54">
        <v>1640.8</v>
      </c>
      <c r="Q5" s="45">
        <v>100474</v>
      </c>
      <c r="R5" s="118">
        <f>Q6/Q$10</f>
        <v>0.41786100478879523</v>
      </c>
      <c r="S5" s="119">
        <v>278903.25</v>
      </c>
      <c r="T5" s="31">
        <f t="shared" si="4"/>
        <v>7.1405118066692475E-2</v>
      </c>
    </row>
    <row r="6" spans="1:20" ht="20.100000000000001" customHeight="1" x14ac:dyDescent="0.3">
      <c r="A6" s="14">
        <v>4</v>
      </c>
      <c r="B6" s="125" t="s">
        <v>28</v>
      </c>
      <c r="C6" s="42">
        <v>96</v>
      </c>
      <c r="D6" s="36">
        <f t="shared" si="0"/>
        <v>0.37354085603112841</v>
      </c>
      <c r="E6" s="37">
        <v>68</v>
      </c>
      <c r="F6" s="64">
        <f t="shared" si="1"/>
        <v>0.41975308641975306</v>
      </c>
      <c r="G6" s="45">
        <f t="shared" si="5"/>
        <v>8195.25</v>
      </c>
      <c r="H6" s="31">
        <f t="shared" si="2"/>
        <v>0.38437005335053059</v>
      </c>
      <c r="I6" s="100">
        <v>314.75</v>
      </c>
      <c r="J6" s="101">
        <v>254</v>
      </c>
      <c r="K6" s="102">
        <v>189</v>
      </c>
      <c r="L6" s="51">
        <f t="shared" si="6"/>
        <v>406763.32500000001</v>
      </c>
      <c r="M6" s="31">
        <f t="shared" si="3"/>
        <v>0.42423066743860033</v>
      </c>
      <c r="N6" s="132">
        <v>15820.174999999999</v>
      </c>
      <c r="O6" s="133">
        <v>11681.7</v>
      </c>
      <c r="P6" s="54">
        <v>9554.2999999999993</v>
      </c>
      <c r="Q6" s="45">
        <v>584280</v>
      </c>
      <c r="R6" s="118">
        <f>Q7/Q$10</f>
        <v>8.0940366053906851E-2</v>
      </c>
      <c r="S6" s="119">
        <v>1660187.25</v>
      </c>
      <c r="T6" s="31">
        <f t="shared" si="4"/>
        <v>0.42504297314236206</v>
      </c>
    </row>
    <row r="7" spans="1:20" ht="20.100000000000001" customHeight="1" x14ac:dyDescent="0.3">
      <c r="A7" s="14">
        <v>5</v>
      </c>
      <c r="B7" s="125" t="s">
        <v>29</v>
      </c>
      <c r="C7" s="42">
        <v>22</v>
      </c>
      <c r="D7" s="36">
        <f t="shared" si="0"/>
        <v>8.5603112840466927E-2</v>
      </c>
      <c r="E7" s="37">
        <v>12</v>
      </c>
      <c r="F7" s="64">
        <f t="shared" si="1"/>
        <v>7.407407407407407E-2</v>
      </c>
      <c r="G7" s="45">
        <f t="shared" si="5"/>
        <v>1796.75</v>
      </c>
      <c r="H7" s="31">
        <f t="shared" si="2"/>
        <v>8.4270387524183615E-2</v>
      </c>
      <c r="I7" s="100">
        <v>68.25</v>
      </c>
      <c r="J7" s="101">
        <v>58</v>
      </c>
      <c r="K7" s="102">
        <v>42</v>
      </c>
      <c r="L7" s="51">
        <f t="shared" si="6"/>
        <v>69414.649999999994</v>
      </c>
      <c r="M7" s="31">
        <f t="shared" si="3"/>
        <v>7.2395472968259461E-2</v>
      </c>
      <c r="N7" s="132">
        <v>2681.35</v>
      </c>
      <c r="O7" s="133">
        <v>2181.35</v>
      </c>
      <c r="P7" s="54">
        <v>1512.45</v>
      </c>
      <c r="Q7" s="45">
        <v>113176</v>
      </c>
      <c r="R7" s="118">
        <f>Q5/Q$10</f>
        <v>7.1856244600447414E-2</v>
      </c>
      <c r="S7" s="119">
        <v>300609</v>
      </c>
      <c r="T7" s="31">
        <f t="shared" si="4"/>
        <v>7.696224815203967E-2</v>
      </c>
    </row>
    <row r="8" spans="1:20" ht="20.100000000000001" customHeight="1" x14ac:dyDescent="0.3">
      <c r="A8" s="14">
        <v>6</v>
      </c>
      <c r="B8" s="125" t="s">
        <v>31</v>
      </c>
      <c r="C8" s="42">
        <v>53</v>
      </c>
      <c r="D8" s="36">
        <f t="shared" si="0"/>
        <v>0.20622568093385213</v>
      </c>
      <c r="E8" s="37">
        <v>31.25</v>
      </c>
      <c r="F8" s="64">
        <f t="shared" si="1"/>
        <v>0.19290123456790123</v>
      </c>
      <c r="G8" s="45">
        <f t="shared" si="5"/>
        <v>4420.75</v>
      </c>
      <c r="H8" s="31">
        <f t="shared" si="2"/>
        <v>0.20734009497566983</v>
      </c>
      <c r="I8" s="100">
        <v>169.25</v>
      </c>
      <c r="J8" s="101">
        <v>153</v>
      </c>
      <c r="K8" s="102">
        <v>88</v>
      </c>
      <c r="L8" s="51">
        <f t="shared" si="6"/>
        <v>163744.27499999999</v>
      </c>
      <c r="M8" s="31">
        <f t="shared" si="3"/>
        <v>0.17077582663702465</v>
      </c>
      <c r="N8" s="132">
        <v>6226.7249999999995</v>
      </c>
      <c r="O8" s="133">
        <v>5844.8</v>
      </c>
      <c r="P8" s="54">
        <v>3242.5</v>
      </c>
      <c r="Q8" s="45">
        <v>273139</v>
      </c>
      <c r="R8" s="118">
        <f t="shared" si="7"/>
        <v>0.19534150918567594</v>
      </c>
      <c r="S8" s="119">
        <v>739791</v>
      </c>
      <c r="T8" s="31">
        <f t="shared" si="4"/>
        <v>0.18940210879463215</v>
      </c>
    </row>
    <row r="9" spans="1:20" ht="20.100000000000001" customHeight="1" thickBot="1" x14ac:dyDescent="0.35">
      <c r="A9" s="15">
        <v>7</v>
      </c>
      <c r="B9" s="40" t="s">
        <v>32</v>
      </c>
      <c r="C9" s="43">
        <v>7</v>
      </c>
      <c r="D9" s="38">
        <f t="shared" si="0"/>
        <v>2.7237354085603113E-2</v>
      </c>
      <c r="E9" s="39">
        <v>2</v>
      </c>
      <c r="F9" s="65">
        <f t="shared" si="1"/>
        <v>1.2345679012345678E-2</v>
      </c>
      <c r="G9" s="46">
        <f t="shared" si="5"/>
        <v>290</v>
      </c>
      <c r="H9" s="33">
        <f t="shared" si="2"/>
        <v>1.3601453948525532E-2</v>
      </c>
      <c r="I9" s="103">
        <v>10</v>
      </c>
      <c r="J9" s="104">
        <v>15</v>
      </c>
      <c r="K9" s="105">
        <v>5</v>
      </c>
      <c r="L9" s="52">
        <f t="shared" si="6"/>
        <v>24094.625</v>
      </c>
      <c r="M9" s="33">
        <f t="shared" si="3"/>
        <v>2.5129303005458483E-2</v>
      </c>
      <c r="N9" s="134">
        <v>1000.325</v>
      </c>
      <c r="O9" s="135">
        <v>843.75</v>
      </c>
      <c r="P9" s="55">
        <v>173.94</v>
      </c>
      <c r="Q9" s="46">
        <v>21409</v>
      </c>
      <c r="R9" s="120">
        <f t="shared" si="7"/>
        <v>1.5311128656677137E-2</v>
      </c>
      <c r="S9" s="121">
        <v>62631</v>
      </c>
      <c r="T9" s="33">
        <f t="shared" si="4"/>
        <v>1.6034857785396966E-2</v>
      </c>
    </row>
    <row r="10" spans="1:20" ht="20.100000000000001" customHeight="1" thickBot="1" x14ac:dyDescent="0.35">
      <c r="C10" s="25">
        <f>SUM(C3:C9)</f>
        <v>257</v>
      </c>
      <c r="E10" s="26">
        <f>SUM(E3:E9)</f>
        <v>162</v>
      </c>
      <c r="G10" s="27">
        <f>SUM(G3:G9)</f>
        <v>21321.25</v>
      </c>
      <c r="L10" s="28">
        <f>SUM(L3:L9)</f>
        <v>958825.83750000014</v>
      </c>
      <c r="N10" s="28">
        <f>SUM(N3:N9)</f>
        <v>37190.612499999996</v>
      </c>
      <c r="Q10" s="27">
        <f>SUM(Q3:Q9)</f>
        <v>1398264</v>
      </c>
      <c r="S10" s="6">
        <f>SUM(S3:S9)</f>
        <v>3905928</v>
      </c>
    </row>
    <row r="11" spans="1:20" ht="20.100000000000001" customHeight="1" thickBot="1" x14ac:dyDescent="0.35"/>
    <row r="12" spans="1:20" ht="20.100000000000001" customHeight="1" thickBot="1" x14ac:dyDescent="0.35">
      <c r="A12" s="227" t="s">
        <v>0</v>
      </c>
      <c r="B12" s="228"/>
      <c r="C12" s="138" t="s">
        <v>12</v>
      </c>
      <c r="D12" s="136" t="s">
        <v>13</v>
      </c>
      <c r="E12" s="136" t="s">
        <v>14</v>
      </c>
      <c r="F12" s="139" t="s">
        <v>15</v>
      </c>
      <c r="G12" s="136" t="s">
        <v>25</v>
      </c>
      <c r="L12" s="95"/>
      <c r="M12" s="62"/>
    </row>
    <row r="13" spans="1:20" ht="20.100000000000001" customHeight="1" x14ac:dyDescent="0.3">
      <c r="A13" s="126">
        <v>1</v>
      </c>
      <c r="B13" s="41" t="s">
        <v>26</v>
      </c>
      <c r="C13" s="11">
        <f>Q3/L3</f>
        <v>1.4393947067827948</v>
      </c>
      <c r="D13" s="12">
        <f>(S3/4.5)/L3</f>
        <v>0.88685450793013321</v>
      </c>
      <c r="E13" s="11">
        <f>S3/L3</f>
        <v>3.9908452856855998</v>
      </c>
      <c r="F13" s="13">
        <f>S3/Q3</f>
        <v>2.7725857729500598</v>
      </c>
      <c r="G13" s="19">
        <f>L3/E3</f>
        <v>4936.0617647058825</v>
      </c>
      <c r="L13" s="2"/>
    </row>
    <row r="14" spans="1:20" ht="20.100000000000001" customHeight="1" x14ac:dyDescent="0.3">
      <c r="A14" s="127">
        <v>2</v>
      </c>
      <c r="B14" s="42" t="s">
        <v>27</v>
      </c>
      <c r="C14" s="3">
        <f t="shared" ref="C14:C20" si="8">Q4/L4</f>
        <v>1.3989891364428519</v>
      </c>
      <c r="D14" s="8">
        <f t="shared" ref="D14:D19" si="9">(S4/4.5)/L4</f>
        <v>0.88505737972815357</v>
      </c>
      <c r="E14" s="3">
        <f t="shared" ref="E14:E20" si="10">S4/L4</f>
        <v>3.9827582087766911</v>
      </c>
      <c r="F14" s="9">
        <f t="shared" ref="F14:F20" si="11">S4/Q4</f>
        <v>2.8468828706586491</v>
      </c>
      <c r="G14" s="20">
        <f t="shared" ref="G14:G19" si="12">L4/E4</f>
        <v>5916.3048076923069</v>
      </c>
    </row>
    <row r="15" spans="1:20" ht="20.100000000000001" customHeight="1" x14ac:dyDescent="0.3">
      <c r="A15" s="127">
        <v>3</v>
      </c>
      <c r="B15" s="42" t="s">
        <v>30</v>
      </c>
      <c r="C15" s="3">
        <f t="shared" si="8"/>
        <v>1.2872988875756324</v>
      </c>
      <c r="D15" s="8">
        <f t="shared" si="9"/>
        <v>0.79408458012626482</v>
      </c>
      <c r="E15" s="3">
        <f t="shared" si="10"/>
        <v>3.5733806105681918</v>
      </c>
      <c r="F15" s="9">
        <f t="shared" si="11"/>
        <v>2.7758748531958517</v>
      </c>
      <c r="G15" s="20">
        <f t="shared" si="12"/>
        <v>7805.0249999999996</v>
      </c>
    </row>
    <row r="16" spans="1:20" ht="20.100000000000001" customHeight="1" x14ac:dyDescent="0.3">
      <c r="A16" s="127">
        <v>4</v>
      </c>
      <c r="B16" s="42" t="s">
        <v>28</v>
      </c>
      <c r="C16" s="3">
        <f t="shared" si="8"/>
        <v>1.4364126854356891</v>
      </c>
      <c r="D16" s="8">
        <f t="shared" si="9"/>
        <v>0.90699057000775574</v>
      </c>
      <c r="E16" s="3">
        <f t="shared" si="10"/>
        <v>4.081457565034901</v>
      </c>
      <c r="F16" s="9">
        <f t="shared" si="11"/>
        <v>2.8414240603820087</v>
      </c>
      <c r="G16" s="20">
        <f t="shared" si="12"/>
        <v>5981.8136029411762</v>
      </c>
    </row>
    <row r="17" spans="1:18" ht="20.100000000000001" customHeight="1" x14ac:dyDescent="0.3">
      <c r="A17" s="127">
        <v>5</v>
      </c>
      <c r="B17" s="42" t="s">
        <v>29</v>
      </c>
      <c r="C17" s="3">
        <f t="shared" si="8"/>
        <v>1.6304339213696246</v>
      </c>
      <c r="D17" s="8">
        <f t="shared" si="9"/>
        <v>0.96236169166018992</v>
      </c>
      <c r="E17" s="3">
        <f t="shared" si="10"/>
        <v>4.3306276124708551</v>
      </c>
      <c r="F17" s="9">
        <f t="shared" si="11"/>
        <v>2.6561196720152682</v>
      </c>
      <c r="G17" s="20">
        <f t="shared" si="12"/>
        <v>5784.5541666666659</v>
      </c>
    </row>
    <row r="18" spans="1:18" ht="20.100000000000001" customHeight="1" x14ac:dyDescent="0.3">
      <c r="A18" s="127">
        <v>6</v>
      </c>
      <c r="B18" s="42" t="s">
        <v>31</v>
      </c>
      <c r="C18" s="3">
        <f t="shared" si="8"/>
        <v>1.6680827467097705</v>
      </c>
      <c r="D18" s="8">
        <f t="shared" si="9"/>
        <v>1.0039923533204445</v>
      </c>
      <c r="E18" s="3">
        <f t="shared" si="10"/>
        <v>4.5179655899419995</v>
      </c>
      <c r="F18" s="9">
        <f t="shared" si="11"/>
        <v>2.708478100893684</v>
      </c>
      <c r="G18" s="20">
        <f t="shared" si="12"/>
        <v>5239.8167999999996</v>
      </c>
    </row>
    <row r="19" spans="1:18" ht="20.100000000000001" customHeight="1" thickBot="1" x14ac:dyDescent="0.35">
      <c r="A19" s="128">
        <v>7</v>
      </c>
      <c r="B19" s="43" t="s">
        <v>32</v>
      </c>
      <c r="C19" s="16">
        <f t="shared" si="8"/>
        <v>0.88853841883822637</v>
      </c>
      <c r="D19" s="17">
        <f t="shared" si="9"/>
        <v>0.57763920376432498</v>
      </c>
      <c r="E19" s="16">
        <f t="shared" si="10"/>
        <v>2.5993764169394624</v>
      </c>
      <c r="F19" s="18">
        <f t="shared" si="11"/>
        <v>2.9254519127469756</v>
      </c>
      <c r="G19" s="21">
        <f t="shared" si="12"/>
        <v>12047.3125</v>
      </c>
    </row>
    <row r="20" spans="1:18" ht="20.100000000000001" customHeight="1" thickBot="1" x14ac:dyDescent="0.35">
      <c r="A20" s="114"/>
      <c r="B20" s="115"/>
      <c r="C20" s="5">
        <f t="shared" si="8"/>
        <v>1.4583086367861877</v>
      </c>
      <c r="D20" s="5">
        <f>(S10/4.5)/L10</f>
        <v>0.90525720736014259</v>
      </c>
      <c r="E20" s="6">
        <f t="shared" si="10"/>
        <v>4.0736574331206414</v>
      </c>
      <c r="F20" s="7">
        <f t="shared" si="11"/>
        <v>2.7934124028080536</v>
      </c>
      <c r="G20" s="28">
        <f>L10/E10</f>
        <v>5918.6780092592599</v>
      </c>
    </row>
    <row r="21" spans="1:18" ht="20.100000000000001" customHeight="1" thickBot="1" x14ac:dyDescent="0.35">
      <c r="R21" s="96"/>
    </row>
    <row r="22" spans="1:18" ht="20.100000000000001" customHeight="1" thickBot="1" x14ac:dyDescent="0.35">
      <c r="B22" s="67" t="s">
        <v>37</v>
      </c>
      <c r="C22" s="137" t="s">
        <v>38</v>
      </c>
      <c r="D22" s="66" t="s">
        <v>23</v>
      </c>
      <c r="E22" s="242" t="s">
        <v>22</v>
      </c>
      <c r="F22" s="243"/>
      <c r="G22" s="229" t="s">
        <v>23</v>
      </c>
      <c r="H22" s="231"/>
      <c r="R22" s="96"/>
    </row>
    <row r="23" spans="1:18" ht="20.100000000000001" customHeight="1" x14ac:dyDescent="0.3">
      <c r="B23" s="59" t="s">
        <v>16</v>
      </c>
      <c r="C23" s="80">
        <v>222379</v>
      </c>
      <c r="D23" s="81">
        <v>1938532</v>
      </c>
      <c r="E23" s="74" t="s">
        <v>34</v>
      </c>
      <c r="F23" s="90">
        <f>C23</f>
        <v>222379</v>
      </c>
      <c r="G23" s="77" t="s">
        <v>34</v>
      </c>
      <c r="H23" s="87">
        <f>D23</f>
        <v>1938532</v>
      </c>
      <c r="L23" s="94"/>
      <c r="R23" s="96"/>
    </row>
    <row r="24" spans="1:18" ht="20.100000000000001" customHeight="1" x14ac:dyDescent="0.3">
      <c r="B24" s="60" t="s">
        <v>17</v>
      </c>
      <c r="C24" s="82">
        <v>67148</v>
      </c>
      <c r="D24" s="83">
        <v>1000825</v>
      </c>
      <c r="E24" s="75" t="s">
        <v>33</v>
      </c>
      <c r="F24" s="91">
        <f>SUM(C24:C29)</f>
        <v>1175664</v>
      </c>
      <c r="G24" s="78" t="s">
        <v>33</v>
      </c>
      <c r="H24" s="88">
        <f>SUM(D24:D29)</f>
        <v>9794291</v>
      </c>
      <c r="L24" s="94"/>
      <c r="R24" s="96"/>
    </row>
    <row r="25" spans="1:18" ht="20.100000000000001" customHeight="1" x14ac:dyDescent="0.3">
      <c r="B25" s="60" t="s">
        <v>18</v>
      </c>
      <c r="C25" s="82">
        <v>529630</v>
      </c>
      <c r="D25" s="83">
        <v>4130346</v>
      </c>
      <c r="E25" s="75" t="s">
        <v>21</v>
      </c>
      <c r="F25" s="91">
        <f>C30</f>
        <v>221</v>
      </c>
      <c r="G25" s="78" t="s">
        <v>21</v>
      </c>
      <c r="H25" s="88">
        <f>D30</f>
        <v>25627</v>
      </c>
      <c r="L25" s="94"/>
      <c r="Q25" s="96"/>
      <c r="R25" s="96"/>
    </row>
    <row r="26" spans="1:18" ht="20.100000000000001" customHeight="1" thickBot="1" x14ac:dyDescent="0.35">
      <c r="B26" s="60" t="s">
        <v>35</v>
      </c>
      <c r="C26" s="82">
        <v>97212</v>
      </c>
      <c r="D26" s="83">
        <v>1279534</v>
      </c>
      <c r="E26" s="76" t="s">
        <v>24</v>
      </c>
      <c r="F26" s="92">
        <f>C31</f>
        <v>0</v>
      </c>
      <c r="G26" s="79" t="s">
        <v>24</v>
      </c>
      <c r="H26" s="89">
        <f>D31</f>
        <v>63645</v>
      </c>
      <c r="L26" s="94"/>
      <c r="Q26" s="96"/>
      <c r="R26" s="96"/>
    </row>
    <row r="27" spans="1:18" ht="20.100000000000001" customHeight="1" thickBot="1" x14ac:dyDescent="0.35">
      <c r="B27" s="60" t="s">
        <v>36</v>
      </c>
      <c r="C27" s="82">
        <v>234486</v>
      </c>
      <c r="D27" s="83">
        <v>1487056</v>
      </c>
      <c r="E27" s="71" t="s">
        <v>2</v>
      </c>
      <c r="F27" s="93">
        <f>SUM(F23:F26)</f>
        <v>1398264</v>
      </c>
      <c r="G27" s="73" t="s">
        <v>2</v>
      </c>
      <c r="H27" s="72">
        <f>SUM(H23:H26)</f>
        <v>11822095</v>
      </c>
      <c r="Q27" s="96"/>
      <c r="R27" s="96"/>
    </row>
    <row r="28" spans="1:18" ht="20.100000000000001" customHeight="1" x14ac:dyDescent="0.3">
      <c r="B28" s="60" t="s">
        <v>19</v>
      </c>
      <c r="C28" s="82">
        <v>153869</v>
      </c>
      <c r="D28" s="83">
        <v>986060</v>
      </c>
      <c r="E28" s="56"/>
      <c r="F28" s="56"/>
      <c r="G28" s="56"/>
      <c r="H28" s="56"/>
      <c r="Q28" s="96"/>
      <c r="R28" s="96"/>
    </row>
    <row r="29" spans="1:18" ht="20.100000000000001" customHeight="1" x14ac:dyDescent="0.3">
      <c r="B29" s="60" t="s">
        <v>20</v>
      </c>
      <c r="C29" s="82">
        <v>93319</v>
      </c>
      <c r="D29" s="83">
        <v>910470</v>
      </c>
      <c r="E29" s="56"/>
      <c r="F29" s="56"/>
      <c r="G29" s="56"/>
      <c r="H29" s="56"/>
      <c r="Q29" s="96"/>
    </row>
    <row r="30" spans="1:18" ht="20.100000000000001" customHeight="1" x14ac:dyDescent="0.3">
      <c r="B30" s="60" t="s">
        <v>21</v>
      </c>
      <c r="C30" s="82">
        <v>221</v>
      </c>
      <c r="D30" s="83">
        <v>25627</v>
      </c>
      <c r="E30" s="56"/>
      <c r="F30" s="56"/>
      <c r="G30" s="56"/>
      <c r="H30" s="56"/>
      <c r="Q30" s="96"/>
    </row>
    <row r="31" spans="1:18" ht="20.100000000000001" customHeight="1" thickBot="1" x14ac:dyDescent="0.35">
      <c r="B31" s="61" t="s">
        <v>24</v>
      </c>
      <c r="C31" s="84">
        <v>0</v>
      </c>
      <c r="D31" s="85">
        <v>63645</v>
      </c>
      <c r="E31" s="56"/>
      <c r="F31" s="56"/>
      <c r="G31" s="56"/>
      <c r="H31" s="56"/>
      <c r="Q31" s="96"/>
    </row>
    <row r="32" spans="1:18" ht="20.100000000000001" customHeight="1" thickBot="1" x14ac:dyDescent="0.35">
      <c r="B32" s="57" t="s">
        <v>2</v>
      </c>
      <c r="C32" s="86">
        <f>SUM(C23:C31)</f>
        <v>1398264</v>
      </c>
      <c r="D32" s="86">
        <f>SUM(D23:D31)</f>
        <v>11822095</v>
      </c>
      <c r="E32" s="58">
        <f>C32/D32</f>
        <v>0.11827548332169552</v>
      </c>
      <c r="F32" s="56"/>
      <c r="G32" s="56"/>
      <c r="H32" s="56"/>
      <c r="Q32" s="96"/>
    </row>
    <row r="33" spans="3:17" ht="20.100000000000001" customHeight="1" x14ac:dyDescent="0.3">
      <c r="C33" s="2"/>
      <c r="D33" s="2"/>
      <c r="Q33" s="96"/>
    </row>
    <row r="34" spans="3:17" ht="20.100000000000001" customHeight="1" x14ac:dyDescent="0.3">
      <c r="Q34" s="96"/>
    </row>
  </sheetData>
  <mergeCells count="9">
    <mergeCell ref="L1:M1"/>
    <mergeCell ref="Q1:R1"/>
    <mergeCell ref="S1:T1"/>
    <mergeCell ref="A12:B12"/>
    <mergeCell ref="E22:F22"/>
    <mergeCell ref="G22:H22"/>
    <mergeCell ref="A1:B2"/>
    <mergeCell ref="C1:F1"/>
    <mergeCell ref="G1:H1"/>
  </mergeCells>
  <pageMargins left="0.511811024" right="0.511811024" top="0.78740157499999996" bottom="0.78740157499999996" header="0.31496062000000002" footer="0.31496062000000002"/>
  <pageSetup paperSize="9" scale="93" orientation="landscape" r:id="rId1"/>
  <rowBreaks count="1" manualBreakCount="1">
    <brk id="21" max="1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61439-F409-4B68-8638-8195A39DD486}">
  <sheetPr>
    <tabColor rgb="FF00B050"/>
  </sheetPr>
  <dimension ref="A1:T33"/>
  <sheetViews>
    <sheetView topLeftCell="A25" zoomScaleNormal="100" workbookViewId="0">
      <selection activeCell="G30" sqref="G30"/>
    </sheetView>
  </sheetViews>
  <sheetFormatPr defaultRowHeight="20.100000000000001" customHeight="1" x14ac:dyDescent="0.3"/>
  <cols>
    <col min="1" max="1" width="4.6640625" style="1" customWidth="1"/>
    <col min="2" max="2" width="18.5546875" bestFit="1" customWidth="1"/>
    <col min="3" max="3" width="10.5546875" bestFit="1" customWidth="1"/>
    <col min="4" max="4" width="10.109375" bestFit="1" customWidth="1"/>
    <col min="6" max="6" width="9.5546875" bestFit="1" customWidth="1"/>
    <col min="8" max="8" width="10.109375" bestFit="1" customWidth="1"/>
    <col min="9" max="11" width="9.109375" hidden="1" customWidth="1"/>
    <col min="12" max="12" width="11.6640625" bestFit="1" customWidth="1"/>
    <col min="13" max="13" width="9.33203125" customWidth="1"/>
    <col min="14" max="15" width="9.109375" hidden="1" customWidth="1"/>
    <col min="16" max="16" width="8.109375" hidden="1" customWidth="1"/>
    <col min="18" max="18" width="10.109375" bestFit="1" customWidth="1"/>
    <col min="19" max="19" width="15.88671875" bestFit="1" customWidth="1"/>
    <col min="21" max="21" width="18.5546875" bestFit="1" customWidth="1"/>
    <col min="22" max="22" width="15.88671875" bestFit="1" customWidth="1"/>
    <col min="24" max="24" width="10.109375" bestFit="1" customWidth="1"/>
  </cols>
  <sheetData>
    <row r="1" spans="1:20" ht="20.100000000000001" customHeight="1" thickBot="1" x14ac:dyDescent="0.35">
      <c r="A1" s="232" t="s">
        <v>0</v>
      </c>
      <c r="B1" s="233"/>
      <c r="C1" s="225" t="s">
        <v>1</v>
      </c>
      <c r="D1" s="236"/>
      <c r="E1" s="236"/>
      <c r="F1" s="226"/>
      <c r="G1" s="225" t="s">
        <v>5</v>
      </c>
      <c r="H1" s="226"/>
      <c r="I1" s="68"/>
      <c r="J1" s="69"/>
      <c r="K1" s="70"/>
      <c r="L1" s="225" t="s">
        <v>11</v>
      </c>
      <c r="M1" s="226"/>
      <c r="N1" s="122"/>
      <c r="O1" s="122"/>
      <c r="P1" s="122"/>
      <c r="Q1" s="225" t="s">
        <v>10</v>
      </c>
      <c r="R1" s="226"/>
      <c r="S1" s="225" t="s">
        <v>9</v>
      </c>
      <c r="T1" s="226"/>
    </row>
    <row r="2" spans="1:20" ht="20.100000000000001" customHeight="1" thickBot="1" x14ac:dyDescent="0.35">
      <c r="A2" s="234"/>
      <c r="B2" s="235"/>
      <c r="C2" s="140" t="s">
        <v>2</v>
      </c>
      <c r="D2" s="140" t="s">
        <v>3</v>
      </c>
      <c r="E2" s="140" t="s">
        <v>4</v>
      </c>
      <c r="F2" s="140" t="s">
        <v>3</v>
      </c>
      <c r="G2" s="140" t="s">
        <v>4</v>
      </c>
      <c r="H2" s="140" t="s">
        <v>3</v>
      </c>
      <c r="I2" s="141" t="s">
        <v>6</v>
      </c>
      <c r="J2" s="142" t="s">
        <v>7</v>
      </c>
      <c r="K2" s="143" t="s">
        <v>8</v>
      </c>
      <c r="L2" s="140" t="s">
        <v>4</v>
      </c>
      <c r="M2" s="144" t="s">
        <v>3</v>
      </c>
      <c r="N2" s="145" t="s">
        <v>6</v>
      </c>
      <c r="O2" s="146" t="s">
        <v>7</v>
      </c>
      <c r="P2" s="147" t="s">
        <v>8</v>
      </c>
      <c r="Q2" s="140" t="s">
        <v>4</v>
      </c>
      <c r="R2" s="140" t="s">
        <v>3</v>
      </c>
      <c r="S2" s="140" t="s">
        <v>4</v>
      </c>
      <c r="T2" s="140" t="s">
        <v>3</v>
      </c>
    </row>
    <row r="3" spans="1:20" ht="20.100000000000001" customHeight="1" x14ac:dyDescent="0.3">
      <c r="A3" s="10">
        <v>1</v>
      </c>
      <c r="B3" s="151" t="s">
        <v>26</v>
      </c>
      <c r="C3" s="148">
        <v>20</v>
      </c>
      <c r="D3" s="34">
        <f t="shared" ref="D3:D9" si="0">C3/C$10</f>
        <v>7.7821011673151752E-2</v>
      </c>
      <c r="E3" s="35">
        <v>10</v>
      </c>
      <c r="F3" s="63">
        <f t="shared" ref="F3:F9" si="1">E3/E$10</f>
        <v>6.1946902654867242E-2</v>
      </c>
      <c r="G3" s="44">
        <f>((I3*20)+(J3*5)+(K3*5))</f>
        <v>1726.0714285714287</v>
      </c>
      <c r="H3" s="30">
        <f t="shared" ref="H3:H9" si="2">G3/G$10</f>
        <v>7.8483273790191613E-2</v>
      </c>
      <c r="I3" s="97">
        <v>62.428571428571431</v>
      </c>
      <c r="J3" s="98">
        <v>51.5</v>
      </c>
      <c r="K3" s="99">
        <v>44</v>
      </c>
      <c r="L3" s="50">
        <f>((N3*19)+(O3*5)+(P3*5))</f>
        <v>54502.474999999999</v>
      </c>
      <c r="M3" s="30">
        <f t="shared" ref="M3:M9" si="3">L3/L$10</f>
        <v>6.4433189471025901E-2</v>
      </c>
      <c r="N3" s="130">
        <v>1947.9</v>
      </c>
      <c r="O3" s="131">
        <v>1764</v>
      </c>
      <c r="P3" s="53">
        <v>1734.4749999999999</v>
      </c>
      <c r="Q3" s="44">
        <v>89273</v>
      </c>
      <c r="R3" s="116">
        <f>Q3/Q$10</f>
        <v>6.4938097385687482E-2</v>
      </c>
      <c r="S3" s="117">
        <v>251106.75</v>
      </c>
      <c r="T3" s="30">
        <f t="shared" ref="T3:T9" si="4">S3/S$10</f>
        <v>6.4495343283996101E-2</v>
      </c>
    </row>
    <row r="4" spans="1:20" ht="20.100000000000001" customHeight="1" x14ac:dyDescent="0.3">
      <c r="A4" s="14">
        <v>2</v>
      </c>
      <c r="B4" s="152" t="s">
        <v>27</v>
      </c>
      <c r="C4" s="149">
        <v>40</v>
      </c>
      <c r="D4" s="36">
        <f t="shared" si="0"/>
        <v>0.1556420233463035</v>
      </c>
      <c r="E4" s="37">
        <v>25.714285714285715</v>
      </c>
      <c r="F4" s="64">
        <f t="shared" si="1"/>
        <v>0.15929203539823006</v>
      </c>
      <c r="G4" s="45">
        <f t="shared" ref="G4:G9" si="5">((I4*19)+(J4*5)+(K4*5))</f>
        <v>3291.7142857142858</v>
      </c>
      <c r="H4" s="31">
        <f t="shared" si="2"/>
        <v>0.14967197141929198</v>
      </c>
      <c r="I4" s="100">
        <v>131.14285714285714</v>
      </c>
      <c r="J4" s="101">
        <v>104.5</v>
      </c>
      <c r="K4" s="102">
        <v>55.5</v>
      </c>
      <c r="L4" s="51">
        <f t="shared" ref="L4:L9" si="6">((N4*19)+(O4*5)+(P4*5))</f>
        <v>133491.76785714284</v>
      </c>
      <c r="M4" s="31">
        <f t="shared" si="3"/>
        <v>0.15781485833737807</v>
      </c>
      <c r="N4" s="132">
        <v>5342.4285714285716</v>
      </c>
      <c r="O4" s="133">
        <v>4058.2249999999999</v>
      </c>
      <c r="P4" s="54">
        <v>2338.9</v>
      </c>
      <c r="Q4" s="45">
        <v>217990</v>
      </c>
      <c r="R4" s="118">
        <f t="shared" ref="R4:R9" si="7">Q4/Q$10</f>
        <v>0.15856816561677117</v>
      </c>
      <c r="S4" s="119">
        <v>627122.25</v>
      </c>
      <c r="T4" s="31">
        <f t="shared" si="4"/>
        <v>0.16107278993807225</v>
      </c>
    </row>
    <row r="5" spans="1:20" ht="20.100000000000001" customHeight="1" x14ac:dyDescent="0.3">
      <c r="A5" s="14">
        <v>3</v>
      </c>
      <c r="B5" s="152" t="s">
        <v>28</v>
      </c>
      <c r="C5" s="149">
        <v>96</v>
      </c>
      <c r="D5" s="36">
        <f>C5/C$10</f>
        <v>0.37354085603112841</v>
      </c>
      <c r="E5" s="37">
        <v>67.857142857142861</v>
      </c>
      <c r="F5" s="64">
        <f>E5/E$10</f>
        <v>0.42035398230088489</v>
      </c>
      <c r="G5" s="45">
        <f>((I5*19)+(J5*5)+(K5*5))</f>
        <v>8606.2142857142862</v>
      </c>
      <c r="H5" s="31">
        <f>G5/G$10</f>
        <v>0.39131860993829165</v>
      </c>
      <c r="I5" s="100">
        <v>329.14285714285717</v>
      </c>
      <c r="J5" s="101">
        <v>296</v>
      </c>
      <c r="K5" s="102">
        <v>174.5</v>
      </c>
      <c r="L5" s="51">
        <f>((N5*19)+(O5*5)+(P5*5))</f>
        <v>360717.44285714289</v>
      </c>
      <c r="M5" s="31">
        <f>L5/L$10</f>
        <v>0.42644256689477394</v>
      </c>
      <c r="N5" s="132">
        <v>14032.128571428573</v>
      </c>
      <c r="O5" s="133">
        <v>11362.4</v>
      </c>
      <c r="P5" s="54">
        <v>7459</v>
      </c>
      <c r="Q5" s="45">
        <v>572665</v>
      </c>
      <c r="R5" s="118">
        <f>Q6/Q$10</f>
        <v>7.7774706489954465E-2</v>
      </c>
      <c r="S5" s="119">
        <v>1649373.75</v>
      </c>
      <c r="T5" s="31">
        <f>S5/S$10</f>
        <v>0.42363228471501452</v>
      </c>
    </row>
    <row r="6" spans="1:20" ht="20.100000000000001" customHeight="1" x14ac:dyDescent="0.3">
      <c r="A6" s="14">
        <v>4</v>
      </c>
      <c r="B6" s="152" t="s">
        <v>29</v>
      </c>
      <c r="C6" s="149">
        <v>21</v>
      </c>
      <c r="D6" s="36">
        <f>C6/C$10</f>
        <v>8.171206225680934E-2</v>
      </c>
      <c r="E6" s="37">
        <v>12.285714285714286</v>
      </c>
      <c r="F6" s="64">
        <f>E6/E$10</f>
        <v>7.6106194690265472E-2</v>
      </c>
      <c r="G6" s="45">
        <f>((I6*19)+(J6*5)+(K6*5))</f>
        <v>1923.7142857142856</v>
      </c>
      <c r="H6" s="31">
        <f>G6/G$10</f>
        <v>8.7469957778499502E-2</v>
      </c>
      <c r="I6" s="100">
        <v>69.142857142857139</v>
      </c>
      <c r="J6" s="101">
        <v>70</v>
      </c>
      <c r="K6" s="102">
        <v>52</v>
      </c>
      <c r="L6" s="51">
        <f>((N6*19)+(O6*5)+(P6*5))</f>
        <v>68621.89285714287</v>
      </c>
      <c r="M6" s="31">
        <f>L6/L$10</f>
        <v>8.1125259436837044E-2</v>
      </c>
      <c r="N6" s="132">
        <v>2490.4285714285716</v>
      </c>
      <c r="O6" s="133">
        <v>2425.375</v>
      </c>
      <c r="P6" s="54">
        <v>1835.375</v>
      </c>
      <c r="Q6" s="45">
        <v>106920</v>
      </c>
      <c r="R6" s="118">
        <f>Q7/Q$10</f>
        <v>7.1472423876514826E-2</v>
      </c>
      <c r="S6" s="119">
        <v>287568</v>
      </c>
      <c r="T6" s="31">
        <f>S6/S$10</f>
        <v>7.3860208367525729E-2</v>
      </c>
    </row>
    <row r="7" spans="1:20" ht="20.100000000000001" customHeight="1" x14ac:dyDescent="0.3">
      <c r="A7" s="14">
        <v>5</v>
      </c>
      <c r="B7" s="152" t="s">
        <v>30</v>
      </c>
      <c r="C7" s="149">
        <v>20</v>
      </c>
      <c r="D7" s="36">
        <f>C7/C$10</f>
        <v>7.7821011673151752E-2</v>
      </c>
      <c r="E7" s="37">
        <v>11.428571428571429</v>
      </c>
      <c r="F7" s="64">
        <f>E7/E$10</f>
        <v>7.0796460176991136E-2</v>
      </c>
      <c r="G7" s="45">
        <f>((I7*19)+(J7*5)+(K7*5))</f>
        <v>1308.4285714285716</v>
      </c>
      <c r="H7" s="31">
        <f>G7/G$10</f>
        <v>5.9493341994153945E-2</v>
      </c>
      <c r="I7" s="100">
        <v>52.285714285714285</v>
      </c>
      <c r="J7" s="101">
        <v>39.5</v>
      </c>
      <c r="K7" s="102">
        <v>23.5</v>
      </c>
      <c r="L7" s="51">
        <f>((N7*19)+(O7*5)+(P7*5))</f>
        <v>59499.389285714286</v>
      </c>
      <c r="M7" s="31">
        <f>L7/L$10</f>
        <v>7.0340574868512973E-2</v>
      </c>
      <c r="N7" s="132">
        <v>2436.8428571428572</v>
      </c>
      <c r="O7" s="133">
        <v>2076.9499999999998</v>
      </c>
      <c r="P7" s="54">
        <v>562.92499999999995</v>
      </c>
      <c r="Q7" s="45">
        <v>98256</v>
      </c>
      <c r="R7" s="118">
        <f>Q5/Q$10</f>
        <v>0.41656240452740156</v>
      </c>
      <c r="S7" s="119">
        <v>278376.75</v>
      </c>
      <c r="T7" s="31">
        <f>S7/S$10</f>
        <v>7.1499487980841464E-2</v>
      </c>
    </row>
    <row r="8" spans="1:20" ht="20.100000000000001" customHeight="1" x14ac:dyDescent="0.3">
      <c r="A8" s="14">
        <v>6</v>
      </c>
      <c r="B8" s="152" t="s">
        <v>31</v>
      </c>
      <c r="C8" s="149">
        <v>55</v>
      </c>
      <c r="D8" s="36">
        <f t="shared" si="0"/>
        <v>0.2140077821011673</v>
      </c>
      <c r="E8" s="37">
        <v>32.571428571428569</v>
      </c>
      <c r="F8" s="64">
        <f t="shared" si="1"/>
        <v>0.20176991150442472</v>
      </c>
      <c r="G8" s="45">
        <f t="shared" si="5"/>
        <v>4997.7857142857138</v>
      </c>
      <c r="H8" s="31">
        <f t="shared" si="2"/>
        <v>0.22724585904514449</v>
      </c>
      <c r="I8" s="100">
        <v>186.85714285714286</v>
      </c>
      <c r="J8" s="101">
        <v>178</v>
      </c>
      <c r="K8" s="102">
        <v>111.5</v>
      </c>
      <c r="L8" s="51">
        <f t="shared" si="6"/>
        <v>156863.00714285712</v>
      </c>
      <c r="M8" s="31">
        <f t="shared" si="3"/>
        <v>0.18544449330476465</v>
      </c>
      <c r="N8" s="132">
        <v>5850.971428571429</v>
      </c>
      <c r="O8" s="133">
        <v>6121</v>
      </c>
      <c r="P8" s="54">
        <v>3017.91</v>
      </c>
      <c r="Q8" s="45">
        <v>271178</v>
      </c>
      <c r="R8" s="118">
        <f t="shared" si="7"/>
        <v>0.19725766326723598</v>
      </c>
      <c r="S8" s="119">
        <v>746772.75</v>
      </c>
      <c r="T8" s="31">
        <f t="shared" si="4"/>
        <v>0.19180434164507248</v>
      </c>
    </row>
    <row r="9" spans="1:20" ht="20.100000000000001" customHeight="1" thickBot="1" x14ac:dyDescent="0.35">
      <c r="A9" s="15">
        <v>7</v>
      </c>
      <c r="B9" s="153" t="s">
        <v>32</v>
      </c>
      <c r="C9" s="150">
        <v>5</v>
      </c>
      <c r="D9" s="38">
        <f t="shared" si="0"/>
        <v>1.9455252918287938E-2</v>
      </c>
      <c r="E9" s="39">
        <v>1.5714285714285714</v>
      </c>
      <c r="F9" s="65">
        <f t="shared" si="1"/>
        <v>9.7345132743362796E-3</v>
      </c>
      <c r="G9" s="46">
        <f t="shared" si="5"/>
        <v>138.92857142857144</v>
      </c>
      <c r="H9" s="33">
        <f t="shared" si="2"/>
        <v>6.3169860344267619E-3</v>
      </c>
      <c r="I9" s="103">
        <v>4.2857142857142856</v>
      </c>
      <c r="J9" s="104">
        <v>7</v>
      </c>
      <c r="K9" s="105">
        <v>4.5</v>
      </c>
      <c r="L9" s="52">
        <f t="shared" si="6"/>
        <v>12179.814285714287</v>
      </c>
      <c r="M9" s="33">
        <f t="shared" si="3"/>
        <v>1.439905768670756E-2</v>
      </c>
      <c r="N9" s="134">
        <v>580.74285714285713</v>
      </c>
      <c r="O9" s="135">
        <v>129.82</v>
      </c>
      <c r="P9" s="55">
        <v>99.32</v>
      </c>
      <c r="Q9" s="46">
        <v>18458</v>
      </c>
      <c r="R9" s="120">
        <f t="shared" si="7"/>
        <v>1.3426538836434526E-2</v>
      </c>
      <c r="S9" s="121">
        <v>53088.75</v>
      </c>
      <c r="T9" s="33">
        <f t="shared" si="4"/>
        <v>1.3635544069477416E-2</v>
      </c>
    </row>
    <row r="10" spans="1:20" ht="20.100000000000001" customHeight="1" thickBot="1" x14ac:dyDescent="0.35">
      <c r="C10" s="25">
        <f>SUM(C3:C9)</f>
        <v>257</v>
      </c>
      <c r="E10" s="26">
        <f>SUM(E3:E9)</f>
        <v>161.42857142857147</v>
      </c>
      <c r="G10" s="27">
        <f>SUM(G3:G9)</f>
        <v>21992.857142857145</v>
      </c>
      <c r="L10" s="28">
        <f>SUM(L3:L9)</f>
        <v>845875.78928571416</v>
      </c>
      <c r="N10" s="28">
        <f>SUM(N3:N9)</f>
        <v>32681.442857142858</v>
      </c>
      <c r="Q10" s="27">
        <f>SUM(Q3:Q9)</f>
        <v>1374740</v>
      </c>
      <c r="S10" s="6">
        <f>SUM(S3:S9)</f>
        <v>3893409</v>
      </c>
    </row>
    <row r="11" spans="1:20" ht="20.100000000000001" customHeight="1" thickBot="1" x14ac:dyDescent="0.35"/>
    <row r="12" spans="1:20" ht="20.100000000000001" customHeight="1" thickBot="1" x14ac:dyDescent="0.35">
      <c r="A12" s="227" t="s">
        <v>0</v>
      </c>
      <c r="B12" s="228"/>
      <c r="C12" s="138" t="s">
        <v>12</v>
      </c>
      <c r="D12" s="136" t="s">
        <v>13</v>
      </c>
      <c r="E12" s="136" t="s">
        <v>14</v>
      </c>
      <c r="F12" s="139" t="s">
        <v>15</v>
      </c>
      <c r="G12" s="136" t="s">
        <v>25</v>
      </c>
      <c r="L12" s="95"/>
      <c r="M12" s="62"/>
    </row>
    <row r="13" spans="1:20" ht="20.100000000000001" customHeight="1" x14ac:dyDescent="0.3">
      <c r="A13" s="126">
        <v>1</v>
      </c>
      <c r="B13" s="154" t="s">
        <v>26</v>
      </c>
      <c r="C13" s="50">
        <f>Q3/L3</f>
        <v>1.6379623127206608</v>
      </c>
      <c r="D13" s="12">
        <f>(S3/4.5)/L3</f>
        <v>1.0238342387203516</v>
      </c>
      <c r="E13" s="11">
        <f>S3/L3</f>
        <v>4.6072540742415828</v>
      </c>
      <c r="F13" s="13">
        <f>S3/Q3</f>
        <v>2.8127961421706451</v>
      </c>
      <c r="G13" s="19">
        <f>L3/E3</f>
        <v>5450.2474999999995</v>
      </c>
      <c r="L13" s="2"/>
    </row>
    <row r="14" spans="1:20" ht="20.100000000000001" customHeight="1" x14ac:dyDescent="0.3">
      <c r="A14" s="127">
        <v>2</v>
      </c>
      <c r="B14" s="155" t="s">
        <v>27</v>
      </c>
      <c r="C14" s="51">
        <f t="shared" ref="C14:C19" si="8">Q4/L4</f>
        <v>1.6329845914789558</v>
      </c>
      <c r="D14" s="8">
        <f t="shared" ref="D14:D19" si="9">(S4/4.5)/L4</f>
        <v>1.0439632513454884</v>
      </c>
      <c r="E14" s="3">
        <f t="shared" ref="E14:E19" si="10">S4/L4</f>
        <v>4.6978346310546977</v>
      </c>
      <c r="F14" s="9">
        <f t="shared" ref="F14:F19" si="11">S4/Q4</f>
        <v>2.8768395339235746</v>
      </c>
      <c r="G14" s="20">
        <f t="shared" ref="G14:G19" si="12">L4/E4</f>
        <v>5191.3465277777768</v>
      </c>
    </row>
    <row r="15" spans="1:20" ht="20.100000000000001" customHeight="1" x14ac:dyDescent="0.3">
      <c r="A15" s="127">
        <v>3</v>
      </c>
      <c r="B15" s="155" t="s">
        <v>28</v>
      </c>
      <c r="C15" s="51">
        <f t="shared" si="8"/>
        <v>1.5875722434270969</v>
      </c>
      <c r="D15" s="8">
        <f t="shared" si="9"/>
        <v>1.0161069481332459</v>
      </c>
      <c r="E15" s="3">
        <f t="shared" si="10"/>
        <v>4.5724812665996071</v>
      </c>
      <c r="F15" s="9">
        <f t="shared" si="11"/>
        <v>2.8801720901399595</v>
      </c>
      <c r="G15" s="20">
        <f t="shared" si="12"/>
        <v>5315.8360000000002</v>
      </c>
    </row>
    <row r="16" spans="1:20" ht="20.100000000000001" customHeight="1" x14ac:dyDescent="0.3">
      <c r="A16" s="127">
        <v>4</v>
      </c>
      <c r="B16" s="155" t="s">
        <v>29</v>
      </c>
      <c r="C16" s="51">
        <f t="shared" si="8"/>
        <v>1.5581033333281284</v>
      </c>
      <c r="D16" s="8">
        <f t="shared" si="9"/>
        <v>0.93124799301347483</v>
      </c>
      <c r="E16" s="3">
        <f t="shared" si="10"/>
        <v>4.1906159685606363</v>
      </c>
      <c r="F16" s="9">
        <f t="shared" si="11"/>
        <v>2.6895622895622897</v>
      </c>
      <c r="G16" s="20">
        <f t="shared" si="12"/>
        <v>5585.5029069767452</v>
      </c>
    </row>
    <row r="17" spans="1:12" ht="20.100000000000001" customHeight="1" x14ac:dyDescent="0.3">
      <c r="A17" s="127">
        <v>5</v>
      </c>
      <c r="B17" s="155" t="s">
        <v>30</v>
      </c>
      <c r="C17" s="51">
        <f t="shared" si="8"/>
        <v>1.6513782944590847</v>
      </c>
      <c r="D17" s="8">
        <f t="shared" si="9"/>
        <v>1.0396997472182938</v>
      </c>
      <c r="E17" s="3">
        <f t="shared" si="10"/>
        <v>4.6786488624823219</v>
      </c>
      <c r="F17" s="9">
        <f t="shared" si="11"/>
        <v>2.8331781265266245</v>
      </c>
      <c r="G17" s="20">
        <f t="shared" si="12"/>
        <v>5206.1965625000003</v>
      </c>
    </row>
    <row r="18" spans="1:12" ht="20.100000000000001" customHeight="1" x14ac:dyDescent="0.3">
      <c r="A18" s="127">
        <v>6</v>
      </c>
      <c r="B18" s="155" t="s">
        <v>31</v>
      </c>
      <c r="C18" s="51">
        <f t="shared" si="8"/>
        <v>1.7287568620499207</v>
      </c>
      <c r="D18" s="8">
        <f t="shared" si="9"/>
        <v>1.0579262951963408</v>
      </c>
      <c r="E18" s="3">
        <f t="shared" si="10"/>
        <v>4.7606683283835345</v>
      </c>
      <c r="F18" s="9">
        <f t="shared" si="11"/>
        <v>2.7538102279683456</v>
      </c>
      <c r="G18" s="20">
        <f t="shared" si="12"/>
        <v>4815.9695175438592</v>
      </c>
    </row>
    <row r="19" spans="1:12" ht="20.100000000000001" customHeight="1" thickBot="1" x14ac:dyDescent="0.35">
      <c r="A19" s="128">
        <v>7</v>
      </c>
      <c r="B19" s="156" t="s">
        <v>32</v>
      </c>
      <c r="C19" s="52">
        <f t="shared" si="8"/>
        <v>1.515458246489801</v>
      </c>
      <c r="D19" s="17">
        <f t="shared" si="9"/>
        <v>0.96861082798588294</v>
      </c>
      <c r="E19" s="16">
        <f t="shared" si="10"/>
        <v>4.358748725936473</v>
      </c>
      <c r="F19" s="18">
        <f t="shared" si="11"/>
        <v>2.8761918951132301</v>
      </c>
      <c r="G19" s="21">
        <f t="shared" si="12"/>
        <v>7750.7909090909097</v>
      </c>
    </row>
    <row r="20" spans="1:12" ht="20.100000000000001" customHeight="1" thickBot="1" x14ac:dyDescent="0.35">
      <c r="A20" s="114"/>
      <c r="B20" s="115"/>
      <c r="C20" s="5">
        <f>Q10/L10</f>
        <v>1.6252267973775163</v>
      </c>
      <c r="D20" s="5">
        <f>(S10/4.5)/L10</f>
        <v>1.0228475752103101</v>
      </c>
      <c r="E20" s="6">
        <f>S10/L10</f>
        <v>4.6028140884463955</v>
      </c>
      <c r="F20" s="7">
        <f>S10/Q10</f>
        <v>2.8321057072610092</v>
      </c>
      <c r="G20" s="28">
        <f>L10/E10</f>
        <v>5239.9385176991127</v>
      </c>
    </row>
    <row r="21" spans="1:12" ht="20.100000000000001" customHeight="1" thickBot="1" x14ac:dyDescent="0.35"/>
    <row r="22" spans="1:12" ht="20.100000000000001" customHeight="1" thickBot="1" x14ac:dyDescent="0.35">
      <c r="B22" s="67" t="s">
        <v>37</v>
      </c>
      <c r="C22" s="137" t="s">
        <v>38</v>
      </c>
      <c r="D22" s="66" t="s">
        <v>23</v>
      </c>
      <c r="E22" s="242" t="s">
        <v>22</v>
      </c>
      <c r="F22" s="243"/>
      <c r="G22" s="229" t="s">
        <v>23</v>
      </c>
      <c r="H22" s="231"/>
    </row>
    <row r="23" spans="1:12" ht="20.100000000000001" customHeight="1" x14ac:dyDescent="0.3">
      <c r="B23" s="59" t="s">
        <v>16</v>
      </c>
      <c r="C23" s="80">
        <v>221646</v>
      </c>
      <c r="D23" s="81">
        <v>1853179</v>
      </c>
      <c r="E23" s="74" t="s">
        <v>34</v>
      </c>
      <c r="F23" s="90">
        <f>C23</f>
        <v>221646</v>
      </c>
      <c r="G23" s="77" t="s">
        <v>34</v>
      </c>
      <c r="H23" s="87">
        <f>D23</f>
        <v>1853179</v>
      </c>
      <c r="L23" s="94"/>
    </row>
    <row r="24" spans="1:12" ht="20.100000000000001" customHeight="1" x14ac:dyDescent="0.3">
      <c r="B24" s="60" t="s">
        <v>17</v>
      </c>
      <c r="C24" s="82">
        <v>67651</v>
      </c>
      <c r="D24" s="83">
        <v>989361</v>
      </c>
      <c r="E24" s="75" t="s">
        <v>33</v>
      </c>
      <c r="F24" s="91">
        <f>SUM(C24:C29)</f>
        <v>1152796</v>
      </c>
      <c r="G24" s="78" t="s">
        <v>33</v>
      </c>
      <c r="H24" s="88">
        <f>SUM(D24:D29)</f>
        <v>9596353</v>
      </c>
      <c r="L24" s="94"/>
    </row>
    <row r="25" spans="1:12" ht="20.100000000000001" customHeight="1" x14ac:dyDescent="0.3">
      <c r="B25" s="60" t="s">
        <v>18</v>
      </c>
      <c r="C25" s="82">
        <v>527547</v>
      </c>
      <c r="D25" s="83">
        <v>4061220</v>
      </c>
      <c r="E25" s="75" t="s">
        <v>21</v>
      </c>
      <c r="F25" s="91">
        <f>C30</f>
        <v>298</v>
      </c>
      <c r="G25" s="78" t="s">
        <v>21</v>
      </c>
      <c r="H25" s="88">
        <f>D30</f>
        <v>35178</v>
      </c>
      <c r="L25" s="94"/>
    </row>
    <row r="26" spans="1:12" ht="20.100000000000001" customHeight="1" thickBot="1" x14ac:dyDescent="0.35">
      <c r="B26" s="60" t="s">
        <v>35</v>
      </c>
      <c r="C26" s="82">
        <v>96120</v>
      </c>
      <c r="D26" s="83">
        <v>1292709</v>
      </c>
      <c r="E26" s="76" t="s">
        <v>24</v>
      </c>
      <c r="F26" s="92">
        <f>C31</f>
        <v>0</v>
      </c>
      <c r="G26" s="79" t="s">
        <v>24</v>
      </c>
      <c r="H26" s="89">
        <f>D31</f>
        <v>61999</v>
      </c>
      <c r="L26" s="94"/>
    </row>
    <row r="27" spans="1:12" ht="20.100000000000001" customHeight="1" thickBot="1" x14ac:dyDescent="0.35">
      <c r="B27" s="60" t="s">
        <v>36</v>
      </c>
      <c r="C27" s="82">
        <v>213241</v>
      </c>
      <c r="D27" s="83">
        <v>1380630</v>
      </c>
      <c r="E27" s="71" t="s">
        <v>2</v>
      </c>
      <c r="F27" s="93">
        <f>SUM(F23:F26)</f>
        <v>1374740</v>
      </c>
      <c r="G27" s="73" t="s">
        <v>2</v>
      </c>
      <c r="H27" s="72">
        <f>SUM(H23:H26)</f>
        <v>11546709</v>
      </c>
    </row>
    <row r="28" spans="1:12" ht="20.100000000000001" customHeight="1" x14ac:dyDescent="0.3">
      <c r="B28" s="60" t="s">
        <v>19</v>
      </c>
      <c r="C28" s="82">
        <v>152294</v>
      </c>
      <c r="D28" s="83">
        <v>959405</v>
      </c>
      <c r="E28" s="56"/>
      <c r="F28" s="56"/>
      <c r="G28" s="56"/>
      <c r="H28" s="56"/>
    </row>
    <row r="29" spans="1:12" ht="20.100000000000001" customHeight="1" x14ac:dyDescent="0.3">
      <c r="B29" s="60" t="s">
        <v>20</v>
      </c>
      <c r="C29" s="82">
        <v>95943</v>
      </c>
      <c r="D29" s="83">
        <v>913028</v>
      </c>
      <c r="E29" s="56"/>
      <c r="F29" s="56"/>
      <c r="G29" s="56"/>
      <c r="H29" s="56"/>
    </row>
    <row r="30" spans="1:12" ht="20.100000000000001" customHeight="1" x14ac:dyDescent="0.3">
      <c r="B30" s="60" t="s">
        <v>21</v>
      </c>
      <c r="C30" s="82">
        <v>298</v>
      </c>
      <c r="D30" s="83">
        <v>35178</v>
      </c>
      <c r="E30" s="56"/>
      <c r="F30" s="56"/>
      <c r="G30" s="56"/>
      <c r="H30" s="56"/>
    </row>
    <row r="31" spans="1:12" ht="20.100000000000001" customHeight="1" thickBot="1" x14ac:dyDescent="0.35">
      <c r="B31" s="61" t="s">
        <v>24</v>
      </c>
      <c r="C31" s="84">
        <v>0</v>
      </c>
      <c r="D31" s="85">
        <v>61999</v>
      </c>
      <c r="E31" s="56"/>
      <c r="F31" s="56"/>
      <c r="G31" s="56"/>
      <c r="H31" s="56"/>
    </row>
    <row r="32" spans="1:12" ht="20.100000000000001" customHeight="1" thickBot="1" x14ac:dyDescent="0.35">
      <c r="B32" s="57" t="s">
        <v>2</v>
      </c>
      <c r="C32" s="86">
        <f>SUM(C23:C31)</f>
        <v>1374740</v>
      </c>
      <c r="D32" s="86">
        <f>SUM(D23:D31)</f>
        <v>11546709</v>
      </c>
      <c r="E32" s="58">
        <f>C32/D32</f>
        <v>0.11905903231821292</v>
      </c>
      <c r="F32" s="56"/>
      <c r="G32" s="56"/>
      <c r="H32" s="56"/>
    </row>
    <row r="33" spans="3:4" ht="20.100000000000001" customHeight="1" x14ac:dyDescent="0.3">
      <c r="C33" s="2"/>
      <c r="D33" s="2"/>
    </row>
  </sheetData>
  <mergeCells count="9">
    <mergeCell ref="L1:M1"/>
    <mergeCell ref="Q1:R1"/>
    <mergeCell ref="S1:T1"/>
    <mergeCell ref="A12:B12"/>
    <mergeCell ref="E22:F22"/>
    <mergeCell ref="G22:H22"/>
    <mergeCell ref="A1:B2"/>
    <mergeCell ref="C1:F1"/>
    <mergeCell ref="G1:H1"/>
  </mergeCells>
  <pageMargins left="0.511811024" right="0.511811024" top="0.78740157499999996" bottom="0.78740157499999996" header="0.31496062000000002" footer="0.31496062000000002"/>
  <pageSetup paperSize="9" scale="93" orientation="landscape" r:id="rId1"/>
  <rowBreaks count="1" manualBreakCount="1">
    <brk id="21" max="19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62BFE-2F74-412D-A4EB-999A01BE6C12}">
  <sheetPr>
    <tabColor rgb="FF00B050"/>
  </sheetPr>
  <dimension ref="A1:T33"/>
  <sheetViews>
    <sheetView tabSelected="1" topLeftCell="A10" zoomScaleNormal="100" workbookViewId="0">
      <selection activeCell="G32" sqref="G32"/>
    </sheetView>
  </sheetViews>
  <sheetFormatPr defaultRowHeight="20.100000000000001" customHeight="1" x14ac:dyDescent="0.3"/>
  <cols>
    <col min="1" max="1" width="4.6640625" style="1" customWidth="1"/>
    <col min="2" max="2" width="18.5546875" bestFit="1" customWidth="1"/>
    <col min="3" max="3" width="10.5546875" bestFit="1" customWidth="1"/>
    <col min="4" max="4" width="10.109375" bestFit="1" customWidth="1"/>
    <col min="6" max="6" width="9.5546875" bestFit="1" customWidth="1"/>
    <col min="8" max="8" width="10.109375" bestFit="1" customWidth="1"/>
    <col min="9" max="11" width="9.109375" hidden="1" customWidth="1"/>
    <col min="12" max="12" width="11.6640625" bestFit="1" customWidth="1"/>
    <col min="13" max="13" width="9.33203125" customWidth="1"/>
    <col min="14" max="15" width="9.109375" hidden="1" customWidth="1"/>
    <col min="16" max="16" width="8.109375" hidden="1" customWidth="1"/>
    <col min="18" max="18" width="10.109375" bestFit="1" customWidth="1"/>
    <col min="19" max="19" width="15.88671875" bestFit="1" customWidth="1"/>
    <col min="21" max="21" width="18.5546875" bestFit="1" customWidth="1"/>
    <col min="22" max="22" width="15.88671875" bestFit="1" customWidth="1"/>
    <col min="24" max="24" width="10.109375" bestFit="1" customWidth="1"/>
  </cols>
  <sheetData>
    <row r="1" spans="1:20" ht="20.100000000000001" customHeight="1" thickBot="1" x14ac:dyDescent="0.35">
      <c r="A1" s="232" t="s">
        <v>0</v>
      </c>
      <c r="B1" s="233"/>
      <c r="C1" s="225" t="s">
        <v>1</v>
      </c>
      <c r="D1" s="236"/>
      <c r="E1" s="236"/>
      <c r="F1" s="226"/>
      <c r="G1" s="225" t="s">
        <v>5</v>
      </c>
      <c r="H1" s="226"/>
      <c r="I1" s="68"/>
      <c r="J1" s="69"/>
      <c r="K1" s="70"/>
      <c r="L1" s="225" t="s">
        <v>11</v>
      </c>
      <c r="M1" s="226"/>
      <c r="N1" s="122"/>
      <c r="O1" s="122"/>
      <c r="P1" s="122"/>
      <c r="Q1" s="225" t="s">
        <v>10</v>
      </c>
      <c r="R1" s="226"/>
      <c r="S1" s="225" t="s">
        <v>9</v>
      </c>
      <c r="T1" s="226"/>
    </row>
    <row r="2" spans="1:20" ht="20.100000000000001" customHeight="1" thickBot="1" x14ac:dyDescent="0.35">
      <c r="A2" s="234"/>
      <c r="B2" s="235"/>
      <c r="C2" s="140" t="s">
        <v>2</v>
      </c>
      <c r="D2" s="140" t="s">
        <v>3</v>
      </c>
      <c r="E2" s="140" t="s">
        <v>4</v>
      </c>
      <c r="F2" s="140" t="s">
        <v>3</v>
      </c>
      <c r="G2" s="140" t="s">
        <v>4</v>
      </c>
      <c r="H2" s="140" t="s">
        <v>3</v>
      </c>
      <c r="I2" s="141" t="s">
        <v>6</v>
      </c>
      <c r="J2" s="142" t="s">
        <v>7</v>
      </c>
      <c r="K2" s="143" t="s">
        <v>8</v>
      </c>
      <c r="L2" s="140" t="s">
        <v>4</v>
      </c>
      <c r="M2" s="144" t="s">
        <v>3</v>
      </c>
      <c r="N2" s="145" t="s">
        <v>6</v>
      </c>
      <c r="O2" s="146" t="s">
        <v>7</v>
      </c>
      <c r="P2" s="147" t="s">
        <v>8</v>
      </c>
      <c r="Q2" s="140" t="s">
        <v>4</v>
      </c>
      <c r="R2" s="140" t="s">
        <v>3</v>
      </c>
      <c r="S2" s="140" t="s">
        <v>4</v>
      </c>
      <c r="T2" s="140" t="s">
        <v>3</v>
      </c>
    </row>
    <row r="3" spans="1:20" ht="20.100000000000001" customHeight="1" x14ac:dyDescent="0.3">
      <c r="A3" s="10">
        <v>1</v>
      </c>
      <c r="B3" s="151" t="s">
        <v>26</v>
      </c>
      <c r="C3" s="148">
        <v>20</v>
      </c>
      <c r="D3" s="34">
        <f t="shared" ref="D3:D9" si="0">C3/C$10</f>
        <v>7.7821011673151752E-2</v>
      </c>
      <c r="E3" s="35">
        <v>13</v>
      </c>
      <c r="F3" s="63">
        <f t="shared" ref="F3:F9" si="1">E3/E$10</f>
        <v>8.1081081081081072E-2</v>
      </c>
      <c r="G3" s="44">
        <f>((I3*20)+(J3*5)+(K3*5))</f>
        <v>1886.6666666666665</v>
      </c>
      <c r="H3" s="30">
        <f t="shared" ref="H3:H9" si="2">G3/G$10</f>
        <v>8.4637412427942302E-2</v>
      </c>
      <c r="I3" s="97">
        <v>72.333333333333329</v>
      </c>
      <c r="J3" s="98">
        <v>65.5</v>
      </c>
      <c r="K3" s="99">
        <v>22.5</v>
      </c>
      <c r="L3" s="50">
        <f>((N3*19)+(O3*5)+(P3*5))</f>
        <v>58785.55</v>
      </c>
      <c r="M3" s="30">
        <f t="shared" ref="M3:M9" si="3">L3/L$10</f>
        <v>6.6033349534327046E-2</v>
      </c>
      <c r="N3" s="130">
        <v>2488.7000000000003</v>
      </c>
      <c r="O3" s="131">
        <v>1516.1999999999998</v>
      </c>
      <c r="P3" s="53">
        <v>783.85</v>
      </c>
      <c r="Q3" s="44">
        <v>83055</v>
      </c>
      <c r="R3" s="116">
        <f>Q3/Q$10</f>
        <v>6.3146586298053711E-2</v>
      </c>
      <c r="S3" s="117">
        <v>233914.5</v>
      </c>
      <c r="T3" s="30">
        <f t="shared" ref="T3:T9" si="4">S3/S$10</f>
        <v>6.2386171131408694E-2</v>
      </c>
    </row>
    <row r="4" spans="1:20" ht="20.100000000000001" customHeight="1" x14ac:dyDescent="0.3">
      <c r="A4" s="14">
        <v>2</v>
      </c>
      <c r="B4" s="152" t="s">
        <v>27</v>
      </c>
      <c r="C4" s="149">
        <v>40</v>
      </c>
      <c r="D4" s="36">
        <f t="shared" si="0"/>
        <v>0.1556420233463035</v>
      </c>
      <c r="E4" s="37">
        <v>26.666666666666668</v>
      </c>
      <c r="F4" s="64">
        <f t="shared" si="1"/>
        <v>0.16632016632016633</v>
      </c>
      <c r="G4" s="45">
        <f t="shared" ref="G4:G9" si="5">((I4*19)+(J4*5)+(K4*5))</f>
        <v>3744.3333333333335</v>
      </c>
      <c r="H4" s="31">
        <f t="shared" si="2"/>
        <v>0.16797386109594981</v>
      </c>
      <c r="I4" s="100">
        <v>152.33333333333334</v>
      </c>
      <c r="J4" s="101">
        <v>129.5</v>
      </c>
      <c r="K4" s="102">
        <v>40.5</v>
      </c>
      <c r="L4" s="51">
        <f t="shared" ref="L4:L9" si="6">((N4*19)+(O4*5)+(P4*5))</f>
        <v>143935.95833333331</v>
      </c>
      <c r="M4" s="31">
        <f t="shared" si="3"/>
        <v>0.16168213867495212</v>
      </c>
      <c r="N4" s="132">
        <v>5775.333333333333</v>
      </c>
      <c r="O4" s="133">
        <v>5199.8999999999996</v>
      </c>
      <c r="P4" s="54">
        <v>1641.0250000000001</v>
      </c>
      <c r="Q4" s="45">
        <v>205273</v>
      </c>
      <c r="R4" s="118">
        <f t="shared" ref="R4:R9" si="7">Q4/Q$10</f>
        <v>0.15606874010186478</v>
      </c>
      <c r="S4" s="119">
        <v>596367</v>
      </c>
      <c r="T4" s="31">
        <f t="shared" si="4"/>
        <v>0.15905407197555008</v>
      </c>
    </row>
    <row r="5" spans="1:20" ht="20.100000000000001" customHeight="1" x14ac:dyDescent="0.3">
      <c r="A5" s="14">
        <v>3</v>
      </c>
      <c r="B5" s="152" t="s">
        <v>28</v>
      </c>
      <c r="C5" s="149">
        <v>96</v>
      </c>
      <c r="D5" s="36">
        <f>C5/C$10</f>
        <v>0.37354085603112841</v>
      </c>
      <c r="E5" s="37">
        <v>64.333333333333329</v>
      </c>
      <c r="F5" s="64">
        <f>E5/E$10</f>
        <v>0.40124740124740121</v>
      </c>
      <c r="G5" s="45">
        <f>((I5*19)+(J5*5)+(K5*5))</f>
        <v>8491</v>
      </c>
      <c r="H5" s="31">
        <f>G5/G$10</f>
        <v>0.38091321674504847</v>
      </c>
      <c r="I5" s="100">
        <v>329</v>
      </c>
      <c r="J5" s="101">
        <v>295</v>
      </c>
      <c r="K5" s="102">
        <v>153</v>
      </c>
      <c r="L5" s="51">
        <f>((N5*19)+(O5*5)+(P5*5))</f>
        <v>394372.33333333337</v>
      </c>
      <c r="M5" s="31">
        <f>L5/L$10</f>
        <v>0.44299536422927299</v>
      </c>
      <c r="N5" s="132">
        <v>15260.833333333334</v>
      </c>
      <c r="O5" s="133">
        <v>13889.7</v>
      </c>
      <c r="P5" s="54">
        <v>6993.6</v>
      </c>
      <c r="Q5" s="45">
        <v>553888</v>
      </c>
      <c r="R5" s="118">
        <f>Q6/Q$10</f>
        <v>8.2591218705166156E-2</v>
      </c>
      <c r="S5" s="119">
        <v>1597371.75</v>
      </c>
      <c r="T5" s="31">
        <f>S5/S$10</f>
        <v>0.42602706269161505</v>
      </c>
    </row>
    <row r="6" spans="1:20" ht="20.100000000000001" customHeight="1" x14ac:dyDescent="0.3">
      <c r="A6" s="14">
        <v>4</v>
      </c>
      <c r="B6" s="152" t="s">
        <v>29</v>
      </c>
      <c r="C6" s="149">
        <v>21</v>
      </c>
      <c r="D6" s="36">
        <f>C6/C$10</f>
        <v>8.171206225680934E-2</v>
      </c>
      <c r="E6" s="37">
        <v>11.666666666666666</v>
      </c>
      <c r="F6" s="64">
        <f>E6/E$10</f>
        <v>7.2765072765072755E-2</v>
      </c>
      <c r="G6" s="45">
        <f>((I6*19)+(J6*5)+(K6*5))</f>
        <v>1892.5</v>
      </c>
      <c r="H6" s="31">
        <f>G6/G$10</f>
        <v>8.4899100540572869E-2</v>
      </c>
      <c r="I6" s="100">
        <v>70</v>
      </c>
      <c r="J6" s="101">
        <v>66.5</v>
      </c>
      <c r="K6" s="102">
        <v>46</v>
      </c>
      <c r="L6" s="51">
        <f>((N6*19)+(O6*5)+(P6*5))</f>
        <v>65113.866666666669</v>
      </c>
      <c r="M6" s="31">
        <f>L6/L$10</f>
        <v>7.314189825784681E-2</v>
      </c>
      <c r="N6" s="132">
        <v>2419.4666666666667</v>
      </c>
      <c r="O6" s="133">
        <v>2233.1000000000004</v>
      </c>
      <c r="P6" s="54">
        <v>1595.7</v>
      </c>
      <c r="Q6" s="45">
        <v>108630</v>
      </c>
      <c r="R6" s="118">
        <f>Q7/Q$10</f>
        <v>6.5296710264713106E-2</v>
      </c>
      <c r="S6" s="119">
        <v>301347</v>
      </c>
      <c r="T6" s="31">
        <f>S6/S$10</f>
        <v>8.0370757314901883E-2</v>
      </c>
    </row>
    <row r="7" spans="1:20" ht="20.100000000000001" customHeight="1" x14ac:dyDescent="0.3">
      <c r="A7" s="14">
        <v>5</v>
      </c>
      <c r="B7" s="152" t="s">
        <v>30</v>
      </c>
      <c r="C7" s="149">
        <v>20</v>
      </c>
      <c r="D7" s="36">
        <f>C7/C$10</f>
        <v>7.7821011673151752E-2</v>
      </c>
      <c r="E7" s="37">
        <v>11</v>
      </c>
      <c r="F7" s="64">
        <f>E7/E$10</f>
        <v>6.8607068607068597E-2</v>
      </c>
      <c r="G7" s="45">
        <f>((I7*19)+(J7*5)+(K7*5))</f>
        <v>1324.5</v>
      </c>
      <c r="H7" s="31">
        <f>G7/G$10</f>
        <v>5.9418155173573982E-2</v>
      </c>
      <c r="I7" s="100">
        <v>53</v>
      </c>
      <c r="J7" s="101">
        <v>40.5</v>
      </c>
      <c r="K7" s="102">
        <v>23</v>
      </c>
      <c r="L7" s="51">
        <f>((N7*19)+(O7*5)+(P7*5))</f>
        <v>59283.458333333336</v>
      </c>
      <c r="M7" s="31">
        <f>L7/L$10</f>
        <v>6.6592646079329243E-2</v>
      </c>
      <c r="N7" s="132">
        <v>2320.8333333333335</v>
      </c>
      <c r="O7" s="133">
        <v>1902.75</v>
      </c>
      <c r="P7" s="54">
        <v>1134.7750000000001</v>
      </c>
      <c r="Q7" s="45">
        <v>85883</v>
      </c>
      <c r="R7" s="118">
        <f>Q5/Q$10</f>
        <v>0.42112017809230479</v>
      </c>
      <c r="S7" s="119">
        <v>244944</v>
      </c>
      <c r="T7" s="31">
        <f>S7/S$10</f>
        <v>6.5327794136796874E-2</v>
      </c>
    </row>
    <row r="8" spans="1:20" ht="20.100000000000001" customHeight="1" x14ac:dyDescent="0.3">
      <c r="A8" s="14">
        <v>6</v>
      </c>
      <c r="B8" s="152" t="s">
        <v>31</v>
      </c>
      <c r="C8" s="149">
        <v>55</v>
      </c>
      <c r="D8" s="36">
        <f t="shared" si="0"/>
        <v>0.2140077821011673</v>
      </c>
      <c r="E8" s="37">
        <v>32.666666666666664</v>
      </c>
      <c r="F8" s="64">
        <f t="shared" si="1"/>
        <v>0.20374220374220373</v>
      </c>
      <c r="G8" s="45">
        <f t="shared" si="5"/>
        <v>4729.8333333333339</v>
      </c>
      <c r="H8" s="31">
        <f t="shared" si="2"/>
        <v>0.21218419852407905</v>
      </c>
      <c r="I8" s="100">
        <v>184.33333333333334</v>
      </c>
      <c r="J8" s="101">
        <v>170</v>
      </c>
      <c r="K8" s="102">
        <v>75.5</v>
      </c>
      <c r="L8" s="51">
        <f t="shared" si="6"/>
        <v>162046.35</v>
      </c>
      <c r="M8" s="31">
        <f t="shared" si="3"/>
        <v>0.18202540029500272</v>
      </c>
      <c r="N8" s="132">
        <v>6348.9000000000005</v>
      </c>
      <c r="O8" s="133">
        <v>5730.5</v>
      </c>
      <c r="P8" s="54">
        <v>2552.9499999999998</v>
      </c>
      <c r="Q8" s="45">
        <v>257619</v>
      </c>
      <c r="R8" s="118">
        <f t="shared" si="7"/>
        <v>0.19586732184116909</v>
      </c>
      <c r="S8" s="119">
        <v>715554</v>
      </c>
      <c r="T8" s="31">
        <f t="shared" si="4"/>
        <v>0.19084184305703161</v>
      </c>
    </row>
    <row r="9" spans="1:20" ht="20.100000000000001" customHeight="1" thickBot="1" x14ac:dyDescent="0.35">
      <c r="A9" s="15">
        <v>7</v>
      </c>
      <c r="B9" s="153" t="s">
        <v>32</v>
      </c>
      <c r="C9" s="150">
        <v>5</v>
      </c>
      <c r="D9" s="38">
        <f t="shared" si="0"/>
        <v>1.9455252918287938E-2</v>
      </c>
      <c r="E9" s="39">
        <v>1</v>
      </c>
      <c r="F9" s="65">
        <f t="shared" si="1"/>
        <v>6.2370062370062365E-3</v>
      </c>
      <c r="G9" s="46">
        <f t="shared" si="5"/>
        <v>222.33333333333334</v>
      </c>
      <c r="H9" s="33">
        <f t="shared" si="2"/>
        <v>9.9740554928334849E-3</v>
      </c>
      <c r="I9" s="103">
        <v>9.3333333333333339</v>
      </c>
      <c r="J9" s="104">
        <v>5.5</v>
      </c>
      <c r="K9" s="105">
        <v>3.5</v>
      </c>
      <c r="L9" s="52">
        <f t="shared" si="6"/>
        <v>6702.8</v>
      </c>
      <c r="M9" s="33">
        <f t="shared" si="3"/>
        <v>7.5292029292689669E-3</v>
      </c>
      <c r="N9" s="134">
        <v>219.20000000000002</v>
      </c>
      <c r="O9" s="135">
        <v>275.7</v>
      </c>
      <c r="P9" s="55">
        <v>231.89999999999998</v>
      </c>
      <c r="Q9" s="46">
        <v>20925</v>
      </c>
      <c r="R9" s="120">
        <f t="shared" si="7"/>
        <v>1.5909244696728359E-2</v>
      </c>
      <c r="S9" s="121">
        <v>59962.5</v>
      </c>
      <c r="T9" s="33">
        <f t="shared" si="4"/>
        <v>1.5992299692695808E-2</v>
      </c>
    </row>
    <row r="10" spans="1:20" ht="20.100000000000001" customHeight="1" thickBot="1" x14ac:dyDescent="0.35">
      <c r="C10" s="25">
        <f>SUM(C3:C9)</f>
        <v>257</v>
      </c>
      <c r="E10" s="26">
        <f>SUM(E3:E9)</f>
        <v>160.33333333333334</v>
      </c>
      <c r="G10" s="27">
        <f>SUM(G3:G9)</f>
        <v>22291.166666666668</v>
      </c>
      <c r="L10" s="28">
        <f>SUM(L3:L9)</f>
        <v>890240.31666666677</v>
      </c>
      <c r="N10" s="28">
        <f>SUM(N3:N9)</f>
        <v>34833.266666666663</v>
      </c>
      <c r="Q10" s="27">
        <f>SUM(Q3:Q9)</f>
        <v>1315273</v>
      </c>
      <c r="S10" s="6">
        <f>SUM(S3:S9)</f>
        <v>3749460.75</v>
      </c>
    </row>
    <row r="11" spans="1:20" ht="20.100000000000001" customHeight="1" thickBot="1" x14ac:dyDescent="0.35"/>
    <row r="12" spans="1:20" ht="20.100000000000001" customHeight="1" thickBot="1" x14ac:dyDescent="0.35">
      <c r="A12" s="227" t="s">
        <v>0</v>
      </c>
      <c r="B12" s="228"/>
      <c r="C12" s="138" t="s">
        <v>12</v>
      </c>
      <c r="D12" s="136" t="s">
        <v>13</v>
      </c>
      <c r="E12" s="136" t="s">
        <v>14</v>
      </c>
      <c r="F12" s="139" t="s">
        <v>15</v>
      </c>
      <c r="G12" s="136" t="s">
        <v>25</v>
      </c>
      <c r="L12" s="95"/>
      <c r="M12" s="62"/>
    </row>
    <row r="13" spans="1:20" ht="20.100000000000001" customHeight="1" x14ac:dyDescent="0.3">
      <c r="A13" s="126">
        <v>1</v>
      </c>
      <c r="B13" s="154" t="s">
        <v>26</v>
      </c>
      <c r="C13" s="50">
        <f>Q3/L3</f>
        <v>1.4128472047977776</v>
      </c>
      <c r="D13" s="12">
        <f>(S3/4.5)/L3</f>
        <v>0.88424791466610408</v>
      </c>
      <c r="E13" s="11">
        <f>S3/L3</f>
        <v>3.9791156159974688</v>
      </c>
      <c r="F13" s="13">
        <f>S3/Q3</f>
        <v>2.8163807115766661</v>
      </c>
      <c r="G13" s="19">
        <f>L3/E3</f>
        <v>4521.9653846153851</v>
      </c>
      <c r="L13" s="2"/>
    </row>
    <row r="14" spans="1:20" ht="20.100000000000001" customHeight="1" x14ac:dyDescent="0.3">
      <c r="A14" s="127">
        <v>2</v>
      </c>
      <c r="B14" s="155" t="s">
        <v>27</v>
      </c>
      <c r="C14" s="51">
        <f t="shared" ref="C14:C20" si="8">Q4/L4</f>
        <v>1.4261411976333227</v>
      </c>
      <c r="D14" s="8">
        <f t="shared" ref="D14:D19" si="9">(S4/4.5)/L4</f>
        <v>0.92072892371404769</v>
      </c>
      <c r="E14" s="3">
        <f t="shared" ref="E14:E20" si="10">S4/L4</f>
        <v>4.1432801567132147</v>
      </c>
      <c r="F14" s="9">
        <f t="shared" ref="F14:F20" si="11">S4/Q4</f>
        <v>2.9052383898515637</v>
      </c>
      <c r="G14" s="20">
        <f t="shared" ref="G14:G19" si="12">L4/E4</f>
        <v>5397.5984374999989</v>
      </c>
    </row>
    <row r="15" spans="1:20" ht="20.100000000000001" customHeight="1" x14ac:dyDescent="0.3">
      <c r="A15" s="127">
        <v>3</v>
      </c>
      <c r="B15" s="155" t="s">
        <v>28</v>
      </c>
      <c r="C15" s="51">
        <f t="shared" si="8"/>
        <v>1.4044798612478731</v>
      </c>
      <c r="D15" s="8">
        <f t="shared" si="9"/>
        <v>0.90009229856387818</v>
      </c>
      <c r="E15" s="3">
        <f t="shared" si="10"/>
        <v>4.0504153435374519</v>
      </c>
      <c r="F15" s="9">
        <f t="shared" si="11"/>
        <v>2.8839255409035762</v>
      </c>
      <c r="G15" s="20">
        <f t="shared" si="12"/>
        <v>6130.139896373058</v>
      </c>
    </row>
    <row r="16" spans="1:20" ht="20.100000000000001" customHeight="1" x14ac:dyDescent="0.3">
      <c r="A16" s="127">
        <v>4</v>
      </c>
      <c r="B16" s="155" t="s">
        <v>29</v>
      </c>
      <c r="C16" s="51">
        <f t="shared" si="8"/>
        <v>1.6683082354193883</v>
      </c>
      <c r="D16" s="8">
        <f t="shared" si="9"/>
        <v>1.0284445299925873</v>
      </c>
      <c r="E16" s="3">
        <f t="shared" si="10"/>
        <v>4.6280003849666427</v>
      </c>
      <c r="F16" s="9">
        <f t="shared" si="11"/>
        <v>2.7740679370339687</v>
      </c>
      <c r="G16" s="20">
        <f t="shared" si="12"/>
        <v>5581.1885714285718</v>
      </c>
    </row>
    <row r="17" spans="1:17" ht="20.100000000000001" customHeight="1" x14ac:dyDescent="0.3">
      <c r="A17" s="127">
        <v>5</v>
      </c>
      <c r="B17" s="155" t="s">
        <v>30</v>
      </c>
      <c r="C17" s="51">
        <f t="shared" si="8"/>
        <v>1.4486840412903261</v>
      </c>
      <c r="D17" s="8">
        <f t="shared" si="9"/>
        <v>0.91816505869048626</v>
      </c>
      <c r="E17" s="3">
        <f t="shared" si="10"/>
        <v>4.1317427641071882</v>
      </c>
      <c r="F17" s="9">
        <f t="shared" si="11"/>
        <v>2.8520661830630045</v>
      </c>
      <c r="G17" s="20">
        <f t="shared" si="12"/>
        <v>5389.405303030303</v>
      </c>
    </row>
    <row r="18" spans="1:17" ht="20.100000000000001" customHeight="1" x14ac:dyDescent="0.3">
      <c r="A18" s="127">
        <v>6</v>
      </c>
      <c r="B18" s="155" t="s">
        <v>31</v>
      </c>
      <c r="C18" s="51">
        <f t="shared" si="8"/>
        <v>1.5897858853346589</v>
      </c>
      <c r="D18" s="8">
        <f t="shared" si="9"/>
        <v>0.98127480193166949</v>
      </c>
      <c r="E18" s="3">
        <f t="shared" si="10"/>
        <v>4.4157366086925132</v>
      </c>
      <c r="F18" s="9">
        <f t="shared" si="11"/>
        <v>2.7775668720086641</v>
      </c>
      <c r="G18" s="20">
        <f t="shared" si="12"/>
        <v>4960.602551020409</v>
      </c>
    </row>
    <row r="19" spans="1:17" ht="20.100000000000001" customHeight="1" thickBot="1" x14ac:dyDescent="0.35">
      <c r="A19" s="128">
        <v>7</v>
      </c>
      <c r="B19" s="156" t="s">
        <v>32</v>
      </c>
      <c r="C19" s="52">
        <f t="shared" si="8"/>
        <v>3.121829683117503</v>
      </c>
      <c r="D19" s="17">
        <f t="shared" si="9"/>
        <v>1.9879751745539178</v>
      </c>
      <c r="E19" s="16">
        <f t="shared" si="10"/>
        <v>8.9458882854926305</v>
      </c>
      <c r="F19" s="18">
        <f t="shared" si="11"/>
        <v>2.8655913978494625</v>
      </c>
      <c r="G19" s="21">
        <f t="shared" si="12"/>
        <v>6702.8</v>
      </c>
    </row>
    <row r="20" spans="1:17" ht="20.100000000000001" customHeight="1" thickBot="1" x14ac:dyDescent="0.35">
      <c r="A20" s="114"/>
      <c r="B20" s="115"/>
      <c r="C20" s="5">
        <f t="shared" si="8"/>
        <v>1.4774358961013878</v>
      </c>
      <c r="D20" s="5">
        <f>(S10/4.5)/L10</f>
        <v>0.93594222189330556</v>
      </c>
      <c r="E20" s="6">
        <f t="shared" si="10"/>
        <v>4.2117399985198745</v>
      </c>
      <c r="F20" s="7">
        <f t="shared" si="11"/>
        <v>2.8507091303478442</v>
      </c>
      <c r="G20" s="28">
        <f>L10/E10</f>
        <v>5552.4344074844075</v>
      </c>
    </row>
    <row r="21" spans="1:17" ht="20.100000000000001" customHeight="1" thickBot="1" x14ac:dyDescent="0.35"/>
    <row r="22" spans="1:17" ht="20.100000000000001" customHeight="1" thickBot="1" x14ac:dyDescent="0.35">
      <c r="B22" s="67" t="s">
        <v>37</v>
      </c>
      <c r="C22" s="66" t="s">
        <v>38</v>
      </c>
      <c r="D22" s="66" t="s">
        <v>23</v>
      </c>
      <c r="E22" s="229" t="s">
        <v>22</v>
      </c>
      <c r="F22" s="230"/>
      <c r="G22" s="229" t="s">
        <v>23</v>
      </c>
      <c r="H22" s="231"/>
    </row>
    <row r="23" spans="1:17" ht="20.100000000000001" customHeight="1" x14ac:dyDescent="0.3">
      <c r="B23" s="59" t="s">
        <v>16</v>
      </c>
      <c r="C23" s="80">
        <v>217474</v>
      </c>
      <c r="D23" s="81">
        <v>1782799</v>
      </c>
      <c r="E23" s="74" t="s">
        <v>34</v>
      </c>
      <c r="F23" s="90">
        <f>C23</f>
        <v>217474</v>
      </c>
      <c r="G23" s="77" t="s">
        <v>34</v>
      </c>
      <c r="H23" s="87">
        <f>D23</f>
        <v>1782799</v>
      </c>
      <c r="L23" s="94"/>
    </row>
    <row r="24" spans="1:17" ht="20.100000000000001" customHeight="1" x14ac:dyDescent="0.3">
      <c r="B24" s="60" t="s">
        <v>17</v>
      </c>
      <c r="C24" s="82">
        <v>67902</v>
      </c>
      <c r="D24" s="83">
        <v>968036</v>
      </c>
      <c r="E24" s="75" t="s">
        <v>33</v>
      </c>
      <c r="F24" s="91">
        <f>SUM(C24:C29)</f>
        <v>1097534</v>
      </c>
      <c r="G24" s="78" t="s">
        <v>33</v>
      </c>
      <c r="H24" s="88">
        <f>SUM(D24:D29)</f>
        <v>9078531</v>
      </c>
      <c r="L24" s="94"/>
    </row>
    <row r="25" spans="1:17" ht="20.100000000000001" customHeight="1" x14ac:dyDescent="0.3">
      <c r="B25" s="60" t="s">
        <v>18</v>
      </c>
      <c r="C25" s="82">
        <v>504401</v>
      </c>
      <c r="D25" s="83">
        <v>3891452</v>
      </c>
      <c r="E25" s="75" t="s">
        <v>21</v>
      </c>
      <c r="F25" s="91">
        <f>C30</f>
        <v>265</v>
      </c>
      <c r="G25" s="78" t="s">
        <v>21</v>
      </c>
      <c r="H25" s="88">
        <f>D30</f>
        <v>41263</v>
      </c>
      <c r="L25" s="94"/>
    </row>
    <row r="26" spans="1:17" ht="20.100000000000001" customHeight="1" thickBot="1" x14ac:dyDescent="0.35">
      <c r="B26" s="60" t="s">
        <v>35</v>
      </c>
      <c r="C26" s="82">
        <v>86343</v>
      </c>
      <c r="D26" s="83">
        <v>1101891</v>
      </c>
      <c r="E26" s="76" t="s">
        <v>24</v>
      </c>
      <c r="F26" s="92">
        <f>C31</f>
        <v>0</v>
      </c>
      <c r="G26" s="79" t="s">
        <v>24</v>
      </c>
      <c r="H26" s="89">
        <f>D31</f>
        <v>58337</v>
      </c>
      <c r="L26" s="94"/>
      <c r="Q26" s="2"/>
    </row>
    <row r="27" spans="1:17" ht="20.100000000000001" customHeight="1" thickBot="1" x14ac:dyDescent="0.35">
      <c r="B27" s="60" t="s">
        <v>36</v>
      </c>
      <c r="C27" s="82">
        <v>200057</v>
      </c>
      <c r="D27" s="83">
        <v>1321219</v>
      </c>
      <c r="E27" s="71" t="s">
        <v>2</v>
      </c>
      <c r="F27" s="93">
        <f>SUM(F23:F26)</f>
        <v>1315273</v>
      </c>
      <c r="G27" s="73" t="s">
        <v>2</v>
      </c>
      <c r="H27" s="72">
        <f>SUM(H23:H26)</f>
        <v>10960930</v>
      </c>
    </row>
    <row r="28" spans="1:17" ht="20.100000000000001" customHeight="1" x14ac:dyDescent="0.3">
      <c r="B28" s="60" t="s">
        <v>19</v>
      </c>
      <c r="C28" s="82">
        <v>146756</v>
      </c>
      <c r="D28" s="83">
        <v>923414</v>
      </c>
      <c r="E28" s="56"/>
      <c r="F28" s="56"/>
      <c r="G28" s="56"/>
      <c r="H28" s="56"/>
    </row>
    <row r="29" spans="1:17" ht="20.100000000000001" customHeight="1" x14ac:dyDescent="0.3">
      <c r="B29" s="60" t="s">
        <v>20</v>
      </c>
      <c r="C29" s="82">
        <v>92075</v>
      </c>
      <c r="D29" s="83">
        <v>872519</v>
      </c>
      <c r="E29" s="56"/>
      <c r="F29" s="56"/>
      <c r="G29" s="56"/>
      <c r="H29" s="56"/>
    </row>
    <row r="30" spans="1:17" ht="20.100000000000001" customHeight="1" x14ac:dyDescent="0.3">
      <c r="B30" s="60" t="s">
        <v>21</v>
      </c>
      <c r="C30" s="82">
        <v>265</v>
      </c>
      <c r="D30" s="83">
        <v>41263</v>
      </c>
      <c r="E30" s="56"/>
      <c r="F30" s="56"/>
      <c r="G30" s="56"/>
      <c r="H30" s="56"/>
    </row>
    <row r="31" spans="1:17" ht="20.100000000000001" customHeight="1" thickBot="1" x14ac:dyDescent="0.35">
      <c r="B31" s="61" t="s">
        <v>24</v>
      </c>
      <c r="C31" s="84">
        <v>0</v>
      </c>
      <c r="D31" s="85">
        <v>58337</v>
      </c>
      <c r="E31" s="56"/>
      <c r="F31" s="56"/>
      <c r="G31" s="56"/>
      <c r="H31" s="56"/>
    </row>
    <row r="32" spans="1:17" ht="20.100000000000001" customHeight="1" thickBot="1" x14ac:dyDescent="0.35">
      <c r="B32" s="57" t="s">
        <v>2</v>
      </c>
      <c r="C32" s="86">
        <f>SUM(C23:C31)</f>
        <v>1315273</v>
      </c>
      <c r="D32" s="86">
        <f>SUM(D23:D31)</f>
        <v>10960930</v>
      </c>
      <c r="E32" s="58">
        <f>C32/D32</f>
        <v>0.11999647840101159</v>
      </c>
      <c r="F32" s="56"/>
      <c r="G32" s="56"/>
      <c r="H32" s="56"/>
    </row>
    <row r="33" spans="3:4" ht="20.100000000000001" customHeight="1" x14ac:dyDescent="0.3">
      <c r="C33" s="2"/>
      <c r="D33" s="2"/>
    </row>
  </sheetData>
  <mergeCells count="9">
    <mergeCell ref="L1:M1"/>
    <mergeCell ref="Q1:R1"/>
    <mergeCell ref="S1:T1"/>
    <mergeCell ref="A12:B12"/>
    <mergeCell ref="E22:F22"/>
    <mergeCell ref="G22:H22"/>
    <mergeCell ref="A1:B2"/>
    <mergeCell ref="C1:F1"/>
    <mergeCell ref="G1:H1"/>
  </mergeCells>
  <pageMargins left="0.511811024" right="0.511811024" top="0.78740157499999996" bottom="0.78740157499999996" header="0.31496062000000002" footer="0.31496062000000002"/>
  <pageSetup paperSize="9" scale="93" orientation="landscape" r:id="rId1"/>
  <rowBreaks count="1" manualBreakCount="1">
    <brk id="21" max="1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A1000-7FC1-4A43-8C4E-ABA2BE810A17}">
  <sheetPr>
    <tabColor rgb="FF00B050"/>
  </sheetPr>
  <dimension ref="A1:T34"/>
  <sheetViews>
    <sheetView topLeftCell="A19" zoomScaleNormal="100" workbookViewId="0">
      <selection activeCell="H30" sqref="H30"/>
    </sheetView>
  </sheetViews>
  <sheetFormatPr defaultRowHeight="20.100000000000001" customHeight="1" x14ac:dyDescent="0.3"/>
  <cols>
    <col min="1" max="1" width="4.6640625" style="1" customWidth="1"/>
    <col min="2" max="2" width="18.5546875" bestFit="1" customWidth="1"/>
    <col min="3" max="3" width="10.5546875" bestFit="1" customWidth="1"/>
    <col min="4" max="4" width="10.109375" bestFit="1" customWidth="1"/>
    <col min="6" max="6" width="9.5546875" bestFit="1" customWidth="1"/>
    <col min="8" max="8" width="10.109375" bestFit="1" customWidth="1"/>
    <col min="9" max="11" width="9.109375" hidden="1" customWidth="1"/>
    <col min="12" max="12" width="11.6640625" bestFit="1" customWidth="1"/>
    <col min="13" max="13" width="9.33203125" customWidth="1"/>
    <col min="14" max="15" width="9.109375" hidden="1" customWidth="1"/>
    <col min="16" max="16" width="8.109375" hidden="1" customWidth="1"/>
    <col min="18" max="18" width="10.109375" bestFit="1" customWidth="1"/>
    <col min="19" max="19" width="15.88671875" bestFit="1" customWidth="1"/>
    <col min="21" max="21" width="18.5546875" bestFit="1" customWidth="1"/>
    <col min="22" max="22" width="15.88671875" bestFit="1" customWidth="1"/>
    <col min="24" max="24" width="10.109375" bestFit="1" customWidth="1"/>
  </cols>
  <sheetData>
    <row r="1" spans="1:20" ht="20.100000000000001" customHeight="1" thickBot="1" x14ac:dyDescent="0.35">
      <c r="A1" s="232" t="s">
        <v>0</v>
      </c>
      <c r="B1" s="233"/>
      <c r="C1" s="225" t="s">
        <v>1</v>
      </c>
      <c r="D1" s="236"/>
      <c r="E1" s="236"/>
      <c r="F1" s="226"/>
      <c r="G1" s="225" t="s">
        <v>5</v>
      </c>
      <c r="H1" s="226"/>
      <c r="I1" s="68"/>
      <c r="J1" s="69"/>
      <c r="K1" s="70"/>
      <c r="L1" s="225" t="s">
        <v>11</v>
      </c>
      <c r="M1" s="226"/>
      <c r="N1" s="122"/>
      <c r="O1" s="122"/>
      <c r="P1" s="122"/>
      <c r="Q1" s="225" t="s">
        <v>10</v>
      </c>
      <c r="R1" s="226"/>
      <c r="S1" s="225" t="s">
        <v>9</v>
      </c>
      <c r="T1" s="226"/>
    </row>
    <row r="2" spans="1:20" ht="20.100000000000001" customHeight="1" thickBot="1" x14ac:dyDescent="0.35">
      <c r="A2" s="234"/>
      <c r="B2" s="235"/>
      <c r="C2" s="140" t="s">
        <v>2</v>
      </c>
      <c r="D2" s="140" t="s">
        <v>3</v>
      </c>
      <c r="E2" s="140" t="s">
        <v>4</v>
      </c>
      <c r="F2" s="140" t="s">
        <v>3</v>
      </c>
      <c r="G2" s="140" t="s">
        <v>4</v>
      </c>
      <c r="H2" s="140" t="s">
        <v>3</v>
      </c>
      <c r="I2" s="141" t="s">
        <v>6</v>
      </c>
      <c r="J2" s="142" t="s">
        <v>7</v>
      </c>
      <c r="K2" s="143" t="s">
        <v>8</v>
      </c>
      <c r="L2" s="140" t="s">
        <v>4</v>
      </c>
      <c r="M2" s="144" t="s">
        <v>3</v>
      </c>
      <c r="N2" s="145" t="s">
        <v>6</v>
      </c>
      <c r="O2" s="146" t="s">
        <v>7</v>
      </c>
      <c r="P2" s="147" t="s">
        <v>8</v>
      </c>
      <c r="Q2" s="140" t="s">
        <v>4</v>
      </c>
      <c r="R2" s="140" t="s">
        <v>3</v>
      </c>
      <c r="S2" s="140" t="s">
        <v>4</v>
      </c>
      <c r="T2" s="140" t="s">
        <v>3</v>
      </c>
    </row>
    <row r="3" spans="1:20" ht="20.100000000000001" customHeight="1" x14ac:dyDescent="0.3">
      <c r="A3" s="10">
        <v>1</v>
      </c>
      <c r="B3" s="151" t="s">
        <v>26</v>
      </c>
      <c r="C3" s="157">
        <v>20</v>
      </c>
      <c r="D3" s="34">
        <f t="shared" ref="D3:D9" si="0">C3/C$10</f>
        <v>7.7821011673151752E-2</v>
      </c>
      <c r="E3" s="160">
        <v>10.75</v>
      </c>
      <c r="F3" s="63">
        <f t="shared" ref="F3:F9" si="1">E3/E$10</f>
        <v>6.7823343848580436E-2</v>
      </c>
      <c r="G3" s="44">
        <f>((I3*20)+(J3*5)+(K3*5))</f>
        <v>1625</v>
      </c>
      <c r="H3" s="30">
        <f t="shared" ref="H3:H9" si="2">G3/G$10</f>
        <v>7.1819236506270367E-2</v>
      </c>
      <c r="I3" s="97">
        <v>61.5</v>
      </c>
      <c r="J3" s="98">
        <v>55.5</v>
      </c>
      <c r="K3" s="99">
        <v>23.5</v>
      </c>
      <c r="L3" s="50">
        <f>((N3*19)+(O3*5)+(P3*5))</f>
        <v>58323.924999999996</v>
      </c>
      <c r="M3" s="30">
        <f t="shared" ref="M3:M9" si="3">L3/L$10</f>
        <v>6.5209686408021605E-2</v>
      </c>
      <c r="N3" s="130">
        <v>2334.8249999999998</v>
      </c>
      <c r="O3" s="131">
        <v>1977.5</v>
      </c>
      <c r="P3" s="53">
        <v>814.95</v>
      </c>
      <c r="Q3" s="44">
        <v>85553</v>
      </c>
      <c r="R3" s="116">
        <f>Q3/Q$10</f>
        <v>6.3647123853480606E-2</v>
      </c>
      <c r="S3" s="117">
        <v>247050</v>
      </c>
      <c r="T3" s="30">
        <f t="shared" ref="T3:T9" si="4">S3/S$10</f>
        <v>6.2887030151409978E-2</v>
      </c>
    </row>
    <row r="4" spans="1:20" ht="20.100000000000001" customHeight="1" x14ac:dyDescent="0.3">
      <c r="A4" s="14">
        <v>2</v>
      </c>
      <c r="B4" s="152" t="s">
        <v>27</v>
      </c>
      <c r="C4" s="158">
        <v>40</v>
      </c>
      <c r="D4" s="36">
        <f t="shared" si="0"/>
        <v>0.1556420233463035</v>
      </c>
      <c r="E4" s="161">
        <v>24.75</v>
      </c>
      <c r="F4" s="64">
        <f t="shared" si="1"/>
        <v>0.15615141955835962</v>
      </c>
      <c r="G4" s="45">
        <f t="shared" ref="G4:G9" si="5">((I4*19)+(J4*5)+(K4*5))</f>
        <v>3493.5</v>
      </c>
      <c r="H4" s="31">
        <f t="shared" si="2"/>
        <v>0.15440030937517263</v>
      </c>
      <c r="I4" s="100">
        <v>144</v>
      </c>
      <c r="J4" s="101">
        <v>104</v>
      </c>
      <c r="K4" s="102">
        <v>47.5</v>
      </c>
      <c r="L4" s="51">
        <f t="shared" ref="L4:L9" si="6">((N4*19)+(O4*5)+(P4*5))</f>
        <v>131722</v>
      </c>
      <c r="M4" s="31">
        <f t="shared" si="3"/>
        <v>0.14727318699894462</v>
      </c>
      <c r="N4" s="132">
        <v>5744.25</v>
      </c>
      <c r="O4" s="133">
        <v>2574.35</v>
      </c>
      <c r="P4" s="54">
        <v>1941.9</v>
      </c>
      <c r="Q4" s="45">
        <v>200768</v>
      </c>
      <c r="R4" s="118">
        <f t="shared" ref="R4:R9" si="7">Q4/Q$10</f>
        <v>0.14936128203354171</v>
      </c>
      <c r="S4" s="119">
        <v>596324.25</v>
      </c>
      <c r="T4" s="31">
        <f t="shared" si="4"/>
        <v>0.15179543043823898</v>
      </c>
    </row>
    <row r="5" spans="1:20" ht="20.100000000000001" customHeight="1" x14ac:dyDescent="0.3">
      <c r="A5" s="14">
        <v>3</v>
      </c>
      <c r="B5" s="152" t="s">
        <v>28</v>
      </c>
      <c r="C5" s="158">
        <v>96</v>
      </c>
      <c r="D5" s="36">
        <f>C5/C$10</f>
        <v>0.37354085603112841</v>
      </c>
      <c r="E5" s="161">
        <v>65.75</v>
      </c>
      <c r="F5" s="64">
        <f>E5/E$10</f>
        <v>0.41482649842271291</v>
      </c>
      <c r="G5" s="45">
        <f>((I5*19)+(J5*5)+(K5*5))</f>
        <v>8959.75</v>
      </c>
      <c r="H5" s="31">
        <f>G5/G$10</f>
        <v>0.39598917186895749</v>
      </c>
      <c r="I5" s="100">
        <v>342.75</v>
      </c>
      <c r="J5" s="101">
        <v>329</v>
      </c>
      <c r="K5" s="102">
        <v>160.5</v>
      </c>
      <c r="L5" s="51">
        <f>((N5*19)+(O5*5)+(P5*5))</f>
        <v>382128.60000000003</v>
      </c>
      <c r="M5" s="31">
        <f>L5/L$10</f>
        <v>0.42724295687466723</v>
      </c>
      <c r="N5" s="132">
        <v>16395.650000000001</v>
      </c>
      <c r="O5" s="133">
        <v>8953.5</v>
      </c>
      <c r="P5" s="54">
        <v>5168.75</v>
      </c>
      <c r="Q5" s="45">
        <v>579310</v>
      </c>
      <c r="R5" s="118">
        <f>Q6/Q$10</f>
        <v>8.4164511072574513E-2</v>
      </c>
      <c r="S5" s="119">
        <v>1710272.25</v>
      </c>
      <c r="T5" s="31">
        <f>S5/S$10</f>
        <v>0.43535293484262205</v>
      </c>
    </row>
    <row r="6" spans="1:20" ht="20.100000000000001" customHeight="1" x14ac:dyDescent="0.3">
      <c r="A6" s="14">
        <v>4</v>
      </c>
      <c r="B6" s="152" t="s">
        <v>29</v>
      </c>
      <c r="C6" s="158">
        <v>21</v>
      </c>
      <c r="D6" s="36">
        <f>C6/C$10</f>
        <v>8.171206225680934E-2</v>
      </c>
      <c r="E6" s="161">
        <v>13</v>
      </c>
      <c r="F6" s="64">
        <f>E6/E$10</f>
        <v>8.2018927444794956E-2</v>
      </c>
      <c r="G6" s="45">
        <f>((I6*19)+(J6*5)+(K6*5))</f>
        <v>1980.5</v>
      </c>
      <c r="H6" s="31">
        <f>G6/G$10</f>
        <v>8.7531075631180594E-2</v>
      </c>
      <c r="I6" s="100">
        <v>74.5</v>
      </c>
      <c r="J6" s="101">
        <v>68.5</v>
      </c>
      <c r="K6" s="102">
        <v>44.5</v>
      </c>
      <c r="L6" s="51">
        <f>((N6*19)+(O6*5)+(P6*5))</f>
        <v>67999.862499999988</v>
      </c>
      <c r="M6" s="31">
        <f>L6/L$10</f>
        <v>7.6027971529926824E-2</v>
      </c>
      <c r="N6" s="132">
        <v>2562.6374999999998</v>
      </c>
      <c r="O6" s="133">
        <v>2350.625</v>
      </c>
      <c r="P6" s="54">
        <v>1511.3249999999998</v>
      </c>
      <c r="Q6" s="45">
        <v>113132</v>
      </c>
      <c r="R6" s="118">
        <f>Q7/Q$10</f>
        <v>6.5772587985064468E-2</v>
      </c>
      <c r="S6" s="119">
        <v>324733.5</v>
      </c>
      <c r="T6" s="31">
        <f>S6/S$10</f>
        <v>8.2661507410131119E-2</v>
      </c>
    </row>
    <row r="7" spans="1:20" ht="20.100000000000001" customHeight="1" x14ac:dyDescent="0.3">
      <c r="A7" s="14">
        <v>5</v>
      </c>
      <c r="B7" s="152" t="s">
        <v>30</v>
      </c>
      <c r="C7" s="158">
        <v>20</v>
      </c>
      <c r="D7" s="36">
        <f>C7/C$10</f>
        <v>7.7821011673151752E-2</v>
      </c>
      <c r="E7" s="161">
        <v>11.5</v>
      </c>
      <c r="F7" s="64">
        <f>E7/E$10</f>
        <v>7.2555205047318619E-2</v>
      </c>
      <c r="G7" s="45">
        <f>((I7*19)+(J7*5)+(K7*5))</f>
        <v>1514.75</v>
      </c>
      <c r="H7" s="31">
        <f>G7/G$10</f>
        <v>6.6946577537152649E-2</v>
      </c>
      <c r="I7" s="100">
        <v>60.25</v>
      </c>
      <c r="J7" s="101">
        <v>52</v>
      </c>
      <c r="K7" s="102">
        <v>22</v>
      </c>
      <c r="L7" s="51">
        <f>((N7*19)+(O7*5)+(P7*5))</f>
        <v>77337.95</v>
      </c>
      <c r="M7" s="31">
        <f>L7/L$10</f>
        <v>8.6468519855946835E-2</v>
      </c>
      <c r="N7" s="132">
        <v>3046.2999999999997</v>
      </c>
      <c r="O7" s="133">
        <v>2689.45</v>
      </c>
      <c r="P7" s="54">
        <v>1202.2</v>
      </c>
      <c r="Q7" s="45">
        <v>88410</v>
      </c>
      <c r="R7" s="118">
        <f>Q5/Q$10</f>
        <v>0.4309774679971462</v>
      </c>
      <c r="S7" s="119">
        <v>257465.25</v>
      </c>
      <c r="T7" s="31">
        <f>S7/S$10</f>
        <v>6.5538251122000832E-2</v>
      </c>
    </row>
    <row r="8" spans="1:20" ht="20.100000000000001" customHeight="1" x14ac:dyDescent="0.3">
      <c r="A8" s="14">
        <v>6</v>
      </c>
      <c r="B8" s="152" t="s">
        <v>31</v>
      </c>
      <c r="C8" s="158">
        <v>55</v>
      </c>
      <c r="D8" s="36">
        <f t="shared" si="0"/>
        <v>0.2140077821011673</v>
      </c>
      <c r="E8" s="161">
        <v>31</v>
      </c>
      <c r="F8" s="64">
        <f t="shared" si="1"/>
        <v>0.19558359621451105</v>
      </c>
      <c r="G8" s="45">
        <f t="shared" si="5"/>
        <v>4799.25</v>
      </c>
      <c r="H8" s="31">
        <f t="shared" si="2"/>
        <v>0.21210982818628804</v>
      </c>
      <c r="I8" s="100">
        <v>180.75</v>
      </c>
      <c r="J8" s="101">
        <v>173</v>
      </c>
      <c r="K8" s="102">
        <v>100</v>
      </c>
      <c r="L8" s="51">
        <f t="shared" si="6"/>
        <v>163501.125</v>
      </c>
      <c r="M8" s="31">
        <f t="shared" si="3"/>
        <v>0.18280417664978379</v>
      </c>
      <c r="N8" s="132">
        <v>6131.375</v>
      </c>
      <c r="O8" s="133">
        <v>5959.25</v>
      </c>
      <c r="P8" s="54">
        <v>3441.75</v>
      </c>
      <c r="Q8" s="45">
        <v>253379</v>
      </c>
      <c r="R8" s="118">
        <f t="shared" si="7"/>
        <v>0.18850121672964201</v>
      </c>
      <c r="S8" s="119">
        <v>721815.75</v>
      </c>
      <c r="T8" s="31">
        <f t="shared" si="4"/>
        <v>0.18373952169201621</v>
      </c>
    </row>
    <row r="9" spans="1:20" ht="20.100000000000001" customHeight="1" thickBot="1" x14ac:dyDescent="0.35">
      <c r="A9" s="15">
        <v>7</v>
      </c>
      <c r="B9" s="153" t="s">
        <v>32</v>
      </c>
      <c r="C9" s="159">
        <v>5</v>
      </c>
      <c r="D9" s="38">
        <f t="shared" si="0"/>
        <v>1.9455252918287938E-2</v>
      </c>
      <c r="E9" s="162">
        <v>1.75</v>
      </c>
      <c r="F9" s="65">
        <f t="shared" si="1"/>
        <v>1.1041009463722398E-2</v>
      </c>
      <c r="G9" s="46">
        <f t="shared" si="5"/>
        <v>253.5</v>
      </c>
      <c r="H9" s="33">
        <f t="shared" si="2"/>
        <v>1.1203800894978178E-2</v>
      </c>
      <c r="I9" s="103">
        <v>9</v>
      </c>
      <c r="J9" s="104">
        <v>9</v>
      </c>
      <c r="K9" s="105">
        <v>7.5</v>
      </c>
      <c r="L9" s="52">
        <f t="shared" si="6"/>
        <v>13392.387499999999</v>
      </c>
      <c r="M9" s="33">
        <f t="shared" si="3"/>
        <v>1.4973501682709254E-2</v>
      </c>
      <c r="N9" s="134">
        <v>490.36249999999995</v>
      </c>
      <c r="O9" s="135">
        <v>444.6</v>
      </c>
      <c r="P9" s="55">
        <v>370.5</v>
      </c>
      <c r="Q9" s="46">
        <v>23625</v>
      </c>
      <c r="R9" s="120">
        <f t="shared" si="7"/>
        <v>1.7575810328550483E-2</v>
      </c>
      <c r="S9" s="121">
        <v>70812</v>
      </c>
      <c r="T9" s="33">
        <f t="shared" si="4"/>
        <v>1.8025324343580826E-2</v>
      </c>
    </row>
    <row r="10" spans="1:20" ht="20.100000000000001" customHeight="1" thickBot="1" x14ac:dyDescent="0.35">
      <c r="C10" s="25">
        <f>SUM(C3:C9)</f>
        <v>257</v>
      </c>
      <c r="E10" s="26">
        <f>SUM(E3:E9)</f>
        <v>158.5</v>
      </c>
      <c r="G10" s="27">
        <f>SUM(G3:G9)</f>
        <v>22626.25</v>
      </c>
      <c r="L10" s="28">
        <f>SUM(L3:L9)</f>
        <v>894405.84999999986</v>
      </c>
      <c r="N10" s="28">
        <f>SUM(N3:N9)</f>
        <v>36705.400000000009</v>
      </c>
      <c r="Q10" s="27">
        <f>SUM(Q3:Q9)</f>
        <v>1344177</v>
      </c>
      <c r="S10" s="6">
        <f>SUM(S3:S9)</f>
        <v>3928473</v>
      </c>
    </row>
    <row r="11" spans="1:20" ht="20.100000000000001" customHeight="1" thickBot="1" x14ac:dyDescent="0.35"/>
    <row r="12" spans="1:20" ht="20.100000000000001" customHeight="1" thickBot="1" x14ac:dyDescent="0.35">
      <c r="A12" s="227" t="s">
        <v>0</v>
      </c>
      <c r="B12" s="228"/>
      <c r="C12" s="138" t="s">
        <v>12</v>
      </c>
      <c r="D12" s="136" t="s">
        <v>13</v>
      </c>
      <c r="E12" s="136" t="s">
        <v>14</v>
      </c>
      <c r="F12" s="139" t="s">
        <v>15</v>
      </c>
      <c r="G12" s="136" t="s">
        <v>25</v>
      </c>
      <c r="L12" s="95"/>
      <c r="M12" s="62"/>
    </row>
    <row r="13" spans="1:20" ht="20.100000000000001" customHeight="1" x14ac:dyDescent="0.3">
      <c r="A13" s="126">
        <v>1</v>
      </c>
      <c r="B13" s="154" t="s">
        <v>26</v>
      </c>
      <c r="C13" s="50">
        <f>Q3/L3</f>
        <v>1.4668594406154936</v>
      </c>
      <c r="D13" s="12">
        <f>(S3/4.5)/L3</f>
        <v>0.94129467452679161</v>
      </c>
      <c r="E13" s="11">
        <f>S3/L3</f>
        <v>4.2358260353705619</v>
      </c>
      <c r="F13" s="13">
        <f>S3/Q3</f>
        <v>2.8876836580832932</v>
      </c>
      <c r="G13" s="19">
        <f>L3/E3</f>
        <v>5425.4813953488365</v>
      </c>
      <c r="L13" s="2"/>
    </row>
    <row r="14" spans="1:20" ht="20.100000000000001" customHeight="1" x14ac:dyDescent="0.3">
      <c r="A14" s="127">
        <v>2</v>
      </c>
      <c r="B14" s="155" t="s">
        <v>27</v>
      </c>
      <c r="C14" s="51">
        <f t="shared" ref="C14:C20" si="8">Q4/L4</f>
        <v>1.5241797118173122</v>
      </c>
      <c r="D14" s="8">
        <f t="shared" ref="D14:D19" si="9">(S4/4.5)/L4</f>
        <v>1.0060316423983844</v>
      </c>
      <c r="E14" s="3">
        <f t="shared" ref="E14:E20" si="10">S4/L4</f>
        <v>4.5271423907927302</v>
      </c>
      <c r="F14" s="9">
        <f t="shared" ref="F14:F20" si="11">S4/Q4</f>
        <v>2.9702156220114762</v>
      </c>
      <c r="G14" s="20">
        <f t="shared" ref="G14:G19" si="12">L4/E4</f>
        <v>5322.1010101010097</v>
      </c>
    </row>
    <row r="15" spans="1:20" ht="20.100000000000001" customHeight="1" x14ac:dyDescent="0.3">
      <c r="A15" s="127">
        <v>3</v>
      </c>
      <c r="B15" s="155" t="s">
        <v>28</v>
      </c>
      <c r="C15" s="51">
        <f t="shared" si="8"/>
        <v>1.5160079617175997</v>
      </c>
      <c r="D15" s="8">
        <f t="shared" si="9"/>
        <v>0.99458794761763436</v>
      </c>
      <c r="E15" s="3">
        <f t="shared" si="10"/>
        <v>4.4756457642793546</v>
      </c>
      <c r="F15" s="9">
        <f t="shared" si="11"/>
        <v>2.9522574269389446</v>
      </c>
      <c r="G15" s="20">
        <f t="shared" si="12"/>
        <v>5811.8418250950572</v>
      </c>
    </row>
    <row r="16" spans="1:20" ht="20.100000000000001" customHeight="1" x14ac:dyDescent="0.3">
      <c r="A16" s="127">
        <v>4</v>
      </c>
      <c r="B16" s="155" t="s">
        <v>29</v>
      </c>
      <c r="C16" s="51">
        <f t="shared" si="8"/>
        <v>1.6637092464709031</v>
      </c>
      <c r="D16" s="8">
        <f t="shared" si="9"/>
        <v>1.0612227340900875</v>
      </c>
      <c r="E16" s="3">
        <f t="shared" si="10"/>
        <v>4.7755023034053936</v>
      </c>
      <c r="F16" s="9">
        <f t="shared" si="11"/>
        <v>2.8703947601032422</v>
      </c>
      <c r="G16" s="20">
        <f t="shared" si="12"/>
        <v>5230.7586538461528</v>
      </c>
    </row>
    <row r="17" spans="1:17" ht="20.100000000000001" customHeight="1" x14ac:dyDescent="0.3">
      <c r="A17" s="127">
        <v>5</v>
      </c>
      <c r="B17" s="155" t="s">
        <v>30</v>
      </c>
      <c r="C17" s="51">
        <f t="shared" si="8"/>
        <v>1.1431645136701969</v>
      </c>
      <c r="D17" s="8">
        <f t="shared" si="9"/>
        <v>0.73979850771839706</v>
      </c>
      <c r="E17" s="3">
        <f t="shared" si="10"/>
        <v>3.3290932847327865</v>
      </c>
      <c r="F17" s="9">
        <f t="shared" si="11"/>
        <v>2.9121733966745844</v>
      </c>
      <c r="G17" s="20">
        <f t="shared" si="12"/>
        <v>6725.0391304347822</v>
      </c>
    </row>
    <row r="18" spans="1:17" ht="20.100000000000001" customHeight="1" x14ac:dyDescent="0.3">
      <c r="A18" s="127">
        <v>6</v>
      </c>
      <c r="B18" s="155" t="s">
        <v>31</v>
      </c>
      <c r="C18" s="51">
        <f t="shared" si="8"/>
        <v>1.5497079913058702</v>
      </c>
      <c r="D18" s="8">
        <f t="shared" si="9"/>
        <v>0.9810544117051182</v>
      </c>
      <c r="E18" s="3">
        <f t="shared" si="10"/>
        <v>4.4147448526730324</v>
      </c>
      <c r="F18" s="9">
        <f t="shared" si="11"/>
        <v>2.8487591710441671</v>
      </c>
      <c r="G18" s="20">
        <f t="shared" si="12"/>
        <v>5274.2298387096771</v>
      </c>
    </row>
    <row r="19" spans="1:17" ht="20.100000000000001" customHeight="1" thickBot="1" x14ac:dyDescent="0.35">
      <c r="A19" s="128">
        <v>7</v>
      </c>
      <c r="B19" s="156" t="s">
        <v>32</v>
      </c>
      <c r="C19" s="52">
        <f t="shared" si="8"/>
        <v>1.7640618597692161</v>
      </c>
      <c r="D19" s="17">
        <f t="shared" si="9"/>
        <v>1.1749958698551697</v>
      </c>
      <c r="E19" s="16">
        <f t="shared" si="10"/>
        <v>5.2874814143482638</v>
      </c>
      <c r="F19" s="18">
        <f t="shared" si="11"/>
        <v>2.9973333333333332</v>
      </c>
      <c r="G19" s="21">
        <f t="shared" si="12"/>
        <v>7652.7928571428565</v>
      </c>
    </row>
    <row r="20" spans="1:17" ht="20.100000000000001" customHeight="1" thickBot="1" x14ac:dyDescent="0.35">
      <c r="A20" s="114"/>
      <c r="B20" s="115"/>
      <c r="C20" s="5">
        <f t="shared" si="8"/>
        <v>1.5028714313530041</v>
      </c>
      <c r="D20" s="5">
        <f>(S10/4.5)/L10</f>
        <v>0.97606025273649555</v>
      </c>
      <c r="E20" s="6">
        <f t="shared" si="10"/>
        <v>4.3922711373142302</v>
      </c>
      <c r="F20" s="7">
        <f t="shared" si="11"/>
        <v>2.922586087992876</v>
      </c>
      <c r="G20" s="28">
        <f>L10/E10</f>
        <v>5642.9391167192416</v>
      </c>
    </row>
    <row r="21" spans="1:17" ht="20.100000000000001" customHeight="1" thickBot="1" x14ac:dyDescent="0.35"/>
    <row r="22" spans="1:17" ht="20.100000000000001" customHeight="1" thickBot="1" x14ac:dyDescent="0.35">
      <c r="B22" s="163" t="s">
        <v>37</v>
      </c>
      <c r="C22" s="66" t="s">
        <v>38</v>
      </c>
      <c r="D22" s="66" t="s">
        <v>23</v>
      </c>
      <c r="E22" s="229" t="s">
        <v>22</v>
      </c>
      <c r="F22" s="230"/>
      <c r="G22" s="229" t="s">
        <v>23</v>
      </c>
      <c r="H22" s="231"/>
    </row>
    <row r="23" spans="1:17" ht="20.100000000000001" customHeight="1" x14ac:dyDescent="0.3">
      <c r="B23" s="164" t="s">
        <v>16</v>
      </c>
      <c r="C23" s="80">
        <v>222670</v>
      </c>
      <c r="D23" s="80">
        <v>1849530</v>
      </c>
      <c r="E23" s="74" t="s">
        <v>34</v>
      </c>
      <c r="F23" s="90">
        <f>C23</f>
        <v>222670</v>
      </c>
      <c r="G23" s="77" t="s">
        <v>34</v>
      </c>
      <c r="H23" s="87">
        <f>D23+D30</f>
        <v>1852283</v>
      </c>
      <c r="L23" s="94"/>
    </row>
    <row r="24" spans="1:17" ht="20.100000000000001" customHeight="1" x14ac:dyDescent="0.3">
      <c r="B24" s="165" t="s">
        <v>17</v>
      </c>
      <c r="C24" s="82">
        <v>73722</v>
      </c>
      <c r="D24" s="82">
        <v>1059280</v>
      </c>
      <c r="E24" s="75" t="s">
        <v>33</v>
      </c>
      <c r="F24" s="91">
        <f>SUM(C24:C30)</f>
        <v>1121208</v>
      </c>
      <c r="G24" s="78" t="s">
        <v>33</v>
      </c>
      <c r="H24" s="88">
        <f>SUM(D24:D29)</f>
        <v>9269136</v>
      </c>
      <c r="L24" s="94"/>
    </row>
    <row r="25" spans="1:17" ht="20.100000000000001" customHeight="1" x14ac:dyDescent="0.3">
      <c r="B25" s="165" t="s">
        <v>18</v>
      </c>
      <c r="C25" s="82">
        <v>535118</v>
      </c>
      <c r="D25" s="82">
        <v>4138745</v>
      </c>
      <c r="E25" s="75" t="s">
        <v>21</v>
      </c>
      <c r="F25" s="91">
        <f>C31</f>
        <v>299</v>
      </c>
      <c r="G25" s="78" t="s">
        <v>21</v>
      </c>
      <c r="H25" s="88">
        <f>D31</f>
        <v>45121</v>
      </c>
      <c r="L25" s="94"/>
    </row>
    <row r="26" spans="1:17" ht="20.100000000000001" customHeight="1" thickBot="1" x14ac:dyDescent="0.35">
      <c r="B26" s="165" t="s">
        <v>35</v>
      </c>
      <c r="C26" s="82">
        <v>82370</v>
      </c>
      <c r="D26" s="82">
        <v>1025548</v>
      </c>
      <c r="E26" s="76" t="s">
        <v>24</v>
      </c>
      <c r="F26" s="92">
        <f>C32</f>
        <v>0</v>
      </c>
      <c r="G26" s="79" t="s">
        <v>24</v>
      </c>
      <c r="H26" s="89">
        <f>D32</f>
        <v>59648</v>
      </c>
      <c r="L26" s="94"/>
      <c r="Q26" s="2"/>
    </row>
    <row r="27" spans="1:17" ht="20.100000000000001" customHeight="1" thickBot="1" x14ac:dyDescent="0.35">
      <c r="B27" s="165" t="s">
        <v>36</v>
      </c>
      <c r="C27" s="82">
        <v>179246</v>
      </c>
      <c r="D27" s="82">
        <v>1163319</v>
      </c>
      <c r="E27" s="71" t="s">
        <v>2</v>
      </c>
      <c r="F27" s="93">
        <f>SUM(F23:F26)</f>
        <v>1344177</v>
      </c>
      <c r="G27" s="73" t="s">
        <v>2</v>
      </c>
      <c r="H27" s="72">
        <f>SUM(H23:H26)</f>
        <v>11226188</v>
      </c>
    </row>
    <row r="28" spans="1:17" ht="20.100000000000001" customHeight="1" x14ac:dyDescent="0.3">
      <c r="B28" s="165" t="s">
        <v>19</v>
      </c>
      <c r="C28" s="82">
        <v>151811</v>
      </c>
      <c r="D28" s="82">
        <v>961099</v>
      </c>
      <c r="E28" s="56"/>
      <c r="F28" s="56"/>
      <c r="G28" s="56"/>
      <c r="H28" s="56"/>
    </row>
    <row r="29" spans="1:17" ht="20.100000000000001" customHeight="1" x14ac:dyDescent="0.3">
      <c r="B29" s="165" t="s">
        <v>20</v>
      </c>
      <c r="C29" s="82">
        <v>98941</v>
      </c>
      <c r="D29" s="82">
        <v>921145</v>
      </c>
      <c r="E29" s="56"/>
      <c r="F29" s="56"/>
      <c r="G29" s="56"/>
      <c r="H29" s="56"/>
    </row>
    <row r="30" spans="1:17" ht="20.100000000000001" customHeight="1" x14ac:dyDescent="0.3">
      <c r="B30" s="165" t="s">
        <v>39</v>
      </c>
      <c r="C30" s="82">
        <v>0</v>
      </c>
      <c r="D30" s="82">
        <v>2753</v>
      </c>
      <c r="E30" s="56"/>
      <c r="F30" s="56"/>
      <c r="G30" s="56"/>
      <c r="H30" s="56"/>
    </row>
    <row r="31" spans="1:17" ht="20.100000000000001" customHeight="1" x14ac:dyDescent="0.3">
      <c r="B31" s="165" t="s">
        <v>21</v>
      </c>
      <c r="C31" s="82">
        <v>299</v>
      </c>
      <c r="D31" s="82">
        <v>45121</v>
      </c>
      <c r="E31" s="56"/>
      <c r="F31" s="56"/>
      <c r="G31" s="56"/>
      <c r="H31" s="56"/>
    </row>
    <row r="32" spans="1:17" ht="20.100000000000001" customHeight="1" x14ac:dyDescent="0.3">
      <c r="B32" s="165" t="s">
        <v>24</v>
      </c>
      <c r="C32" s="166">
        <v>0</v>
      </c>
      <c r="D32" s="82">
        <v>59648</v>
      </c>
      <c r="E32" s="56"/>
      <c r="F32" s="56"/>
      <c r="G32" s="56"/>
      <c r="H32" s="56"/>
    </row>
    <row r="33" spans="2:8" ht="20.100000000000001" customHeight="1" thickBot="1" x14ac:dyDescent="0.35">
      <c r="B33" s="57" t="s">
        <v>2</v>
      </c>
      <c r="C33" s="86">
        <f>SUM(C23:C32)</f>
        <v>1344177</v>
      </c>
      <c r="D33" s="86">
        <f>SUM(D23:D32)</f>
        <v>11226188</v>
      </c>
      <c r="E33" s="58">
        <f>C33/D33</f>
        <v>0.11973583553027974</v>
      </c>
      <c r="F33" s="56"/>
      <c r="G33" s="56"/>
      <c r="H33" s="56"/>
    </row>
    <row r="34" spans="2:8" ht="20.100000000000001" customHeight="1" x14ac:dyDescent="0.3">
      <c r="C34" s="2"/>
      <c r="D34" s="2"/>
    </row>
  </sheetData>
  <mergeCells count="9">
    <mergeCell ref="L1:M1"/>
    <mergeCell ref="Q1:R1"/>
    <mergeCell ref="S1:T1"/>
    <mergeCell ref="A12:B12"/>
    <mergeCell ref="E22:F22"/>
    <mergeCell ref="G22:H22"/>
    <mergeCell ref="A1:B2"/>
    <mergeCell ref="C1:F1"/>
    <mergeCell ref="G1:H1"/>
  </mergeCells>
  <pageMargins left="0.511811024" right="0.511811024" top="0.78740157499999996" bottom="0.78740157499999996" header="0.31496062000000002" footer="0.31496062000000002"/>
  <pageSetup paperSize="9" scale="93" orientation="landscape" r:id="rId1"/>
  <rowBreaks count="1" manualBreakCount="1">
    <brk id="21" max="19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F1A86-051F-4613-9C88-8036C9570D0D}">
  <sheetPr>
    <tabColor rgb="FF00B050"/>
  </sheetPr>
  <dimension ref="A1:T34"/>
  <sheetViews>
    <sheetView zoomScaleNormal="100" workbookViewId="0">
      <selection activeCell="R11" sqref="R11"/>
    </sheetView>
  </sheetViews>
  <sheetFormatPr defaultRowHeight="20.100000000000001" customHeight="1" x14ac:dyDescent="0.3"/>
  <cols>
    <col min="1" max="1" width="4.6640625" style="1" customWidth="1"/>
    <col min="2" max="2" width="18.5546875" bestFit="1" customWidth="1"/>
    <col min="3" max="3" width="10.5546875" bestFit="1" customWidth="1"/>
    <col min="4" max="4" width="10.109375" bestFit="1" customWidth="1"/>
    <col min="6" max="6" width="9.5546875" bestFit="1" customWidth="1"/>
    <col min="8" max="8" width="10.109375" bestFit="1" customWidth="1"/>
    <col min="9" max="11" width="9.109375" hidden="1" customWidth="1"/>
    <col min="12" max="12" width="11.6640625" bestFit="1" customWidth="1"/>
    <col min="13" max="13" width="9.33203125" customWidth="1"/>
    <col min="14" max="15" width="9.109375" hidden="1" customWidth="1"/>
    <col min="16" max="16" width="8.109375" hidden="1" customWidth="1"/>
    <col min="18" max="18" width="10.109375" bestFit="1" customWidth="1"/>
    <col min="19" max="19" width="15.88671875" bestFit="1" customWidth="1"/>
    <col min="21" max="21" width="18.5546875" bestFit="1" customWidth="1"/>
    <col min="22" max="22" width="15.88671875" bestFit="1" customWidth="1"/>
    <col min="24" max="24" width="10.109375" bestFit="1" customWidth="1"/>
  </cols>
  <sheetData>
    <row r="1" spans="1:20" ht="20.100000000000001" customHeight="1" thickBot="1" x14ac:dyDescent="0.35">
      <c r="A1" s="232" t="s">
        <v>0</v>
      </c>
      <c r="B1" s="233"/>
      <c r="C1" s="225" t="s">
        <v>1</v>
      </c>
      <c r="D1" s="236"/>
      <c r="E1" s="236"/>
      <c r="F1" s="226"/>
      <c r="G1" s="225" t="s">
        <v>5</v>
      </c>
      <c r="H1" s="226"/>
      <c r="I1" s="68"/>
      <c r="J1" s="69"/>
      <c r="K1" s="70"/>
      <c r="L1" s="225" t="s">
        <v>11</v>
      </c>
      <c r="M1" s="226"/>
      <c r="N1" s="122"/>
      <c r="O1" s="122"/>
      <c r="P1" s="122"/>
      <c r="Q1" s="225" t="s">
        <v>10</v>
      </c>
      <c r="R1" s="226"/>
      <c r="S1" s="225" t="s">
        <v>9</v>
      </c>
      <c r="T1" s="226"/>
    </row>
    <row r="2" spans="1:20" ht="20.100000000000001" customHeight="1" thickBot="1" x14ac:dyDescent="0.35">
      <c r="A2" s="234"/>
      <c r="B2" s="235"/>
      <c r="C2" s="140" t="s">
        <v>2</v>
      </c>
      <c r="D2" s="140" t="s">
        <v>3</v>
      </c>
      <c r="E2" s="140" t="s">
        <v>4</v>
      </c>
      <c r="F2" s="140" t="s">
        <v>3</v>
      </c>
      <c r="G2" s="140" t="s">
        <v>4</v>
      </c>
      <c r="H2" s="140" t="s">
        <v>3</v>
      </c>
      <c r="I2" s="141" t="s">
        <v>6</v>
      </c>
      <c r="J2" s="142" t="s">
        <v>7</v>
      </c>
      <c r="K2" s="143" t="s">
        <v>8</v>
      </c>
      <c r="L2" s="140" t="s">
        <v>4</v>
      </c>
      <c r="M2" s="144" t="s">
        <v>3</v>
      </c>
      <c r="N2" s="145" t="s">
        <v>6</v>
      </c>
      <c r="O2" s="146" t="s">
        <v>7</v>
      </c>
      <c r="P2" s="147" t="s">
        <v>8</v>
      </c>
      <c r="Q2" s="140" t="s">
        <v>4</v>
      </c>
      <c r="R2" s="140" t="s">
        <v>3</v>
      </c>
      <c r="S2" s="140" t="s">
        <v>4</v>
      </c>
      <c r="T2" s="140" t="s">
        <v>3</v>
      </c>
    </row>
    <row r="3" spans="1:20" ht="20.100000000000001" customHeight="1" x14ac:dyDescent="0.3">
      <c r="A3" s="10">
        <v>1</v>
      </c>
      <c r="B3" s="151" t="s">
        <v>26</v>
      </c>
      <c r="C3" s="157">
        <v>20</v>
      </c>
      <c r="D3" s="34">
        <f t="shared" ref="D3:D9" si="0">C3/C$10</f>
        <v>7.7821011673151752E-2</v>
      </c>
      <c r="E3" s="160">
        <v>12</v>
      </c>
      <c r="F3" s="63">
        <f t="shared" ref="F3:F9" si="1">E3/E$10</f>
        <v>7.5709779179810727E-2</v>
      </c>
      <c r="G3" s="167">
        <f>((I3*20)+(J3*5)+(K3*5))</f>
        <v>1666</v>
      </c>
      <c r="H3" s="30">
        <f t="shared" ref="H3:H9" si="2">G3/G$10</f>
        <v>7.4453442019270302E-2</v>
      </c>
      <c r="I3" s="97">
        <v>65.8</v>
      </c>
      <c r="J3" s="98">
        <v>47</v>
      </c>
      <c r="K3" s="99">
        <v>23</v>
      </c>
      <c r="L3" s="170">
        <f>((N3*19)+(O3*5)+(P3*5))</f>
        <v>55273.97</v>
      </c>
      <c r="M3" s="30">
        <f t="shared" ref="M3:M9" si="3">L3/L$10</f>
        <v>6.166990303480821E-2</v>
      </c>
      <c r="N3" s="130">
        <v>2272.13</v>
      </c>
      <c r="O3" s="131">
        <v>1620.375</v>
      </c>
      <c r="P3" s="53">
        <v>800.32500000000005</v>
      </c>
      <c r="Q3" s="167">
        <v>95550</v>
      </c>
      <c r="R3" s="116">
        <f>Q3/Q$10</f>
        <v>6.7555433634475262E-2</v>
      </c>
      <c r="S3" s="179">
        <v>267061.5</v>
      </c>
      <c r="T3" s="30">
        <f t="shared" ref="T3:T9" si="4">S3/S$10</f>
        <v>6.5962878861135291E-2</v>
      </c>
    </row>
    <row r="4" spans="1:20" ht="20.100000000000001" customHeight="1" x14ac:dyDescent="0.3">
      <c r="A4" s="14">
        <v>2</v>
      </c>
      <c r="B4" s="152" t="s">
        <v>27</v>
      </c>
      <c r="C4" s="158">
        <v>40</v>
      </c>
      <c r="D4" s="36">
        <f t="shared" si="0"/>
        <v>0.1556420233463035</v>
      </c>
      <c r="E4" s="161">
        <v>24.75</v>
      </c>
      <c r="F4" s="64">
        <f t="shared" si="1"/>
        <v>0.15615141955835962</v>
      </c>
      <c r="G4" s="168">
        <f t="shared" ref="G4:G9" si="5">((I4*19)+(J4*5)+(K4*5))</f>
        <v>3374.2999999999997</v>
      </c>
      <c r="H4" s="31">
        <f t="shared" si="2"/>
        <v>0.15079726855079456</v>
      </c>
      <c r="I4" s="100">
        <v>132.19999999999999</v>
      </c>
      <c r="J4" s="101">
        <v>112.5</v>
      </c>
      <c r="K4" s="102">
        <v>60</v>
      </c>
      <c r="L4" s="171">
        <f t="shared" ref="L4:L9" si="6">((N4*19)+(O4*5)+(P4*5))</f>
        <v>130304.125</v>
      </c>
      <c r="M4" s="31">
        <f t="shared" si="3"/>
        <v>0.14538204427482823</v>
      </c>
      <c r="N4" s="132">
        <v>5074.125</v>
      </c>
      <c r="O4" s="133">
        <v>4561</v>
      </c>
      <c r="P4" s="54">
        <v>2218.15</v>
      </c>
      <c r="Q4" s="168">
        <v>204437</v>
      </c>
      <c r="R4" s="118">
        <f t="shared" ref="R4:R9" si="7">Q4/Q$10</f>
        <v>0.14454034731482177</v>
      </c>
      <c r="S4" s="180">
        <v>596749.5</v>
      </c>
      <c r="T4" s="31">
        <f t="shared" si="4"/>
        <v>0.1473941956401168</v>
      </c>
    </row>
    <row r="5" spans="1:20" ht="20.100000000000001" customHeight="1" x14ac:dyDescent="0.3">
      <c r="A5" s="14">
        <v>3</v>
      </c>
      <c r="B5" s="152" t="s">
        <v>28</v>
      </c>
      <c r="C5" s="158">
        <v>96</v>
      </c>
      <c r="D5" s="36">
        <f>C5/C$10</f>
        <v>0.37354085603112841</v>
      </c>
      <c r="E5" s="161">
        <v>67</v>
      </c>
      <c r="F5" s="64">
        <f>E5/E$10</f>
        <v>0.4227129337539432</v>
      </c>
      <c r="G5" s="168">
        <f>((I5*19)+(J5*5)+(K5*5))</f>
        <v>9314.7000000000007</v>
      </c>
      <c r="H5" s="31">
        <f>G5/G$10</f>
        <v>0.41627339518421197</v>
      </c>
      <c r="I5" s="100">
        <v>353.8</v>
      </c>
      <c r="J5" s="101">
        <v>342</v>
      </c>
      <c r="K5" s="102">
        <v>176.5</v>
      </c>
      <c r="L5" s="171">
        <f>((N5*19)+(O5*5)+(P5*5))</f>
        <v>419061.56000000006</v>
      </c>
      <c r="M5" s="31">
        <f>L5/L$10</f>
        <v>0.46755255269009022</v>
      </c>
      <c r="N5" s="132">
        <v>15789.240000000002</v>
      </c>
      <c r="O5" s="133">
        <v>15448.1</v>
      </c>
      <c r="P5" s="54">
        <v>8365.1</v>
      </c>
      <c r="Q5" s="168">
        <v>628388</v>
      </c>
      <c r="R5" s="118">
        <f>Q6/Q$10</f>
        <v>8.5906048809596194E-2</v>
      </c>
      <c r="S5" s="180">
        <v>1821802.5</v>
      </c>
      <c r="T5" s="31">
        <f>S5/S$10</f>
        <v>0.44997626994686024</v>
      </c>
    </row>
    <row r="6" spans="1:20" ht="20.100000000000001" customHeight="1" x14ac:dyDescent="0.3">
      <c r="A6" s="14">
        <v>4</v>
      </c>
      <c r="B6" s="152" t="s">
        <v>29</v>
      </c>
      <c r="C6" s="158">
        <v>21</v>
      </c>
      <c r="D6" s="36">
        <f>C6/C$10</f>
        <v>8.171206225680934E-2</v>
      </c>
      <c r="E6" s="161">
        <v>13</v>
      </c>
      <c r="F6" s="64">
        <f>E6/E$10</f>
        <v>8.2018927444794956E-2</v>
      </c>
      <c r="G6" s="168">
        <f>((I6*19)+(J6*5)+(K6*5))</f>
        <v>1989.3</v>
      </c>
      <c r="H6" s="31">
        <f>G6/G$10</f>
        <v>8.890170000536278E-2</v>
      </c>
      <c r="I6" s="100">
        <v>72.2</v>
      </c>
      <c r="J6" s="101">
        <v>73</v>
      </c>
      <c r="K6" s="102">
        <v>50.5</v>
      </c>
      <c r="L6" s="171">
        <f>((N6*19)+(O6*5)+(P6*5))</f>
        <v>68175.375</v>
      </c>
      <c r="M6" s="31">
        <f>L6/L$10</f>
        <v>7.6064172079763542E-2</v>
      </c>
      <c r="N6" s="132">
        <v>2497.75</v>
      </c>
      <c r="O6" s="133">
        <v>2435.15</v>
      </c>
      <c r="P6" s="54">
        <v>1708.4749999999999</v>
      </c>
      <c r="Q6" s="168">
        <v>121505</v>
      </c>
      <c r="R6" s="118">
        <f>Q7/Q$10</f>
        <v>6.5026435349697473E-2</v>
      </c>
      <c r="S6" s="180">
        <v>337529.25</v>
      </c>
      <c r="T6" s="31">
        <f>S6/S$10</f>
        <v>8.3368067017671382E-2</v>
      </c>
    </row>
    <row r="7" spans="1:20" ht="20.100000000000001" customHeight="1" x14ac:dyDescent="0.3">
      <c r="A7" s="14">
        <v>5</v>
      </c>
      <c r="B7" s="152" t="s">
        <v>30</v>
      </c>
      <c r="C7" s="158">
        <v>20</v>
      </c>
      <c r="D7" s="36">
        <f>C7/C$10</f>
        <v>7.7821011673151752E-2</v>
      </c>
      <c r="E7" s="161">
        <v>10</v>
      </c>
      <c r="F7" s="64">
        <f>E7/E$10</f>
        <v>6.3091482649842268E-2</v>
      </c>
      <c r="G7" s="168">
        <f>((I7*19)+(J7*5)+(K7*5))</f>
        <v>1309</v>
      </c>
      <c r="H7" s="31">
        <f>G7/G$10</f>
        <v>5.8499133015140946E-2</v>
      </c>
      <c r="I7" s="100">
        <v>51</v>
      </c>
      <c r="J7" s="101">
        <v>50</v>
      </c>
      <c r="K7" s="102">
        <v>18</v>
      </c>
      <c r="L7" s="171">
        <f>((N7*19)+(O7*5)+(P7*5))</f>
        <v>59324.714999999997</v>
      </c>
      <c r="M7" s="31">
        <f>L7/L$10</f>
        <v>6.6189373074118457E-2</v>
      </c>
      <c r="N7" s="132">
        <v>2288.8599999999997</v>
      </c>
      <c r="O7" s="133">
        <v>2288.375</v>
      </c>
      <c r="P7" s="54">
        <v>878.9</v>
      </c>
      <c r="Q7" s="168">
        <v>91973</v>
      </c>
      <c r="R7" s="118">
        <f>Q5/Q$10</f>
        <v>0.44428073082889208</v>
      </c>
      <c r="S7" s="180">
        <v>264123</v>
      </c>
      <c r="T7" s="31">
        <f>S7/S$10</f>
        <v>6.5237083793207321E-2</v>
      </c>
    </row>
    <row r="8" spans="1:20" ht="20.100000000000001" customHeight="1" x14ac:dyDescent="0.3">
      <c r="A8" s="14">
        <v>6</v>
      </c>
      <c r="B8" s="152" t="s">
        <v>31</v>
      </c>
      <c r="C8" s="158">
        <v>55</v>
      </c>
      <c r="D8" s="36">
        <f t="shared" si="0"/>
        <v>0.2140077821011673</v>
      </c>
      <c r="E8" s="161">
        <v>30</v>
      </c>
      <c r="F8" s="64">
        <f t="shared" si="1"/>
        <v>0.1892744479495268</v>
      </c>
      <c r="G8" s="168">
        <f t="shared" si="5"/>
        <v>4483.1000000000004</v>
      </c>
      <c r="H8" s="31">
        <f t="shared" si="2"/>
        <v>0.20034947534009045</v>
      </c>
      <c r="I8" s="100">
        <v>172.4</v>
      </c>
      <c r="J8" s="101">
        <v>160.5</v>
      </c>
      <c r="K8" s="102">
        <v>81</v>
      </c>
      <c r="L8" s="171">
        <f t="shared" si="6"/>
        <v>152169.82500000001</v>
      </c>
      <c r="M8" s="31">
        <f t="shared" si="3"/>
        <v>0.16977789640537372</v>
      </c>
      <c r="N8" s="132">
        <v>5874.8</v>
      </c>
      <c r="O8" s="133">
        <v>5422.85</v>
      </c>
      <c r="P8" s="54">
        <v>2686.875</v>
      </c>
      <c r="Q8" s="168">
        <v>253390</v>
      </c>
      <c r="R8" s="118">
        <f t="shared" si="7"/>
        <v>0.179150929656093</v>
      </c>
      <c r="S8" s="180">
        <v>704684.25</v>
      </c>
      <c r="T8" s="31">
        <f t="shared" si="4"/>
        <v>0.17405354878220924</v>
      </c>
    </row>
    <row r="9" spans="1:20" ht="20.100000000000001" customHeight="1" thickBot="1" x14ac:dyDescent="0.35">
      <c r="A9" s="15">
        <v>7</v>
      </c>
      <c r="B9" s="153" t="s">
        <v>32</v>
      </c>
      <c r="C9" s="159">
        <v>5</v>
      </c>
      <c r="D9" s="38">
        <f t="shared" si="0"/>
        <v>1.9455252918287938E-2</v>
      </c>
      <c r="E9" s="162">
        <v>1.75</v>
      </c>
      <c r="F9" s="65">
        <f t="shared" si="1"/>
        <v>1.1041009463722398E-2</v>
      </c>
      <c r="G9" s="169">
        <f t="shared" si="5"/>
        <v>240</v>
      </c>
      <c r="H9" s="33">
        <f t="shared" si="2"/>
        <v>1.0725585885128975E-2</v>
      </c>
      <c r="I9" s="103">
        <v>10</v>
      </c>
      <c r="J9" s="104">
        <v>7.5</v>
      </c>
      <c r="K9" s="105">
        <v>2.5</v>
      </c>
      <c r="L9" s="172">
        <f t="shared" si="6"/>
        <v>11978.04</v>
      </c>
      <c r="M9" s="33">
        <f t="shared" si="3"/>
        <v>1.3364058441017609E-2</v>
      </c>
      <c r="N9" s="134">
        <v>504.41</v>
      </c>
      <c r="O9" s="135">
        <v>355.34999999999997</v>
      </c>
      <c r="P9" s="55">
        <v>123.5</v>
      </c>
      <c r="Q9" s="169">
        <v>19151</v>
      </c>
      <c r="R9" s="120">
        <f t="shared" si="7"/>
        <v>1.3540074406424235E-2</v>
      </c>
      <c r="S9" s="181">
        <v>56713.5</v>
      </c>
      <c r="T9" s="33">
        <f t="shared" si="4"/>
        <v>1.4007955958799737E-2</v>
      </c>
    </row>
    <row r="10" spans="1:20" ht="20.100000000000001" customHeight="1" thickBot="1" x14ac:dyDescent="0.35">
      <c r="C10" s="25">
        <f>SUM(C3:C9)</f>
        <v>257</v>
      </c>
      <c r="E10" s="26">
        <f>SUM(E3:E9)</f>
        <v>158.5</v>
      </c>
      <c r="G10" s="27">
        <f>SUM(G3:G9)</f>
        <v>22376.400000000001</v>
      </c>
      <c r="L10" s="28">
        <f>SUM(L3:L9)</f>
        <v>896287.6100000001</v>
      </c>
      <c r="N10" s="28">
        <f>SUM(N3:N9)</f>
        <v>34301.31500000001</v>
      </c>
      <c r="Q10" s="27">
        <f>SUM(Q3:Q9)</f>
        <v>1414394</v>
      </c>
      <c r="S10" s="6">
        <f>SUM(S3:S9)</f>
        <v>4048663.5</v>
      </c>
    </row>
    <row r="11" spans="1:20" ht="20.100000000000001" customHeight="1" thickBot="1" x14ac:dyDescent="0.35"/>
    <row r="12" spans="1:20" ht="20.100000000000001" customHeight="1" thickBot="1" x14ac:dyDescent="0.35">
      <c r="A12" s="227" t="s">
        <v>0</v>
      </c>
      <c r="B12" s="228"/>
      <c r="C12" s="138" t="s">
        <v>12</v>
      </c>
      <c r="D12" s="136" t="s">
        <v>13</v>
      </c>
      <c r="E12" s="136" t="s">
        <v>14</v>
      </c>
      <c r="F12" s="139" t="s">
        <v>15</v>
      </c>
      <c r="G12" s="136" t="s">
        <v>25</v>
      </c>
      <c r="L12" s="95"/>
      <c r="M12" s="62"/>
    </row>
    <row r="13" spans="1:20" ht="20.100000000000001" customHeight="1" x14ac:dyDescent="0.3">
      <c r="A13" s="126">
        <v>1</v>
      </c>
      <c r="B13" s="154" t="s">
        <v>26</v>
      </c>
      <c r="C13" s="170">
        <f>Q3/L3</f>
        <v>1.7286617914363669</v>
      </c>
      <c r="D13" s="176">
        <f>(S3/4.5)/L3</f>
        <v>1.0736880307312826</v>
      </c>
      <c r="E13" s="182">
        <f>S3/L3</f>
        <v>4.8315961382907719</v>
      </c>
      <c r="F13" s="185">
        <f>S3/Q3</f>
        <v>2.7949921507064364</v>
      </c>
      <c r="G13" s="173">
        <f>L3/E3</f>
        <v>4606.1641666666665</v>
      </c>
      <c r="L13" s="2"/>
    </row>
    <row r="14" spans="1:20" ht="20.100000000000001" customHeight="1" x14ac:dyDescent="0.3">
      <c r="A14" s="127">
        <v>2</v>
      </c>
      <c r="B14" s="155" t="s">
        <v>27</v>
      </c>
      <c r="C14" s="171">
        <f t="shared" ref="C14:C20" si="8">Q4/L4</f>
        <v>1.5689219355104838</v>
      </c>
      <c r="D14" s="177">
        <f t="shared" ref="D14:D19" si="9">(S4/4.5)/L4</f>
        <v>1.017703775686303</v>
      </c>
      <c r="E14" s="183">
        <f t="shared" ref="E14:E20" si="10">S4/L4</f>
        <v>4.5796669905883638</v>
      </c>
      <c r="F14" s="186">
        <f t="shared" ref="F14:F20" si="11">S4/Q4</f>
        <v>2.9189897132123832</v>
      </c>
      <c r="G14" s="174">
        <f t="shared" ref="G14:G19" si="12">L4/E4</f>
        <v>5264.8131313131316</v>
      </c>
    </row>
    <row r="15" spans="1:20" ht="20.100000000000001" customHeight="1" x14ac:dyDescent="0.3">
      <c r="A15" s="127">
        <v>3</v>
      </c>
      <c r="B15" s="155" t="s">
        <v>28</v>
      </c>
      <c r="C15" s="171">
        <f t="shared" si="8"/>
        <v>1.4995123866765541</v>
      </c>
      <c r="D15" s="177">
        <f t="shared" si="9"/>
        <v>0.96607524679667578</v>
      </c>
      <c r="E15" s="183">
        <f t="shared" si="10"/>
        <v>4.3473386105850409</v>
      </c>
      <c r="F15" s="186">
        <f t="shared" si="11"/>
        <v>2.8991681890806316</v>
      </c>
      <c r="G15" s="174">
        <f t="shared" si="12"/>
        <v>6254.6501492537318</v>
      </c>
    </row>
    <row r="16" spans="1:20" ht="20.100000000000001" customHeight="1" x14ac:dyDescent="0.3">
      <c r="A16" s="127">
        <v>4</v>
      </c>
      <c r="B16" s="155" t="s">
        <v>29</v>
      </c>
      <c r="C16" s="171">
        <f t="shared" si="8"/>
        <v>1.7822417551791978</v>
      </c>
      <c r="D16" s="177">
        <f t="shared" si="9"/>
        <v>1.1001993021673881</v>
      </c>
      <c r="E16" s="183">
        <f t="shared" si="10"/>
        <v>4.9508968597532466</v>
      </c>
      <c r="F16" s="186">
        <f t="shared" si="11"/>
        <v>2.7779042014731905</v>
      </c>
      <c r="G16" s="174">
        <f t="shared" si="12"/>
        <v>5244.2596153846152</v>
      </c>
    </row>
    <row r="17" spans="1:17" ht="20.100000000000001" customHeight="1" x14ac:dyDescent="0.3">
      <c r="A17" s="127">
        <v>5</v>
      </c>
      <c r="B17" s="155" t="s">
        <v>30</v>
      </c>
      <c r="C17" s="171">
        <f t="shared" si="8"/>
        <v>1.5503319316409696</v>
      </c>
      <c r="D17" s="177">
        <f t="shared" si="9"/>
        <v>0.98936842764436383</v>
      </c>
      <c r="E17" s="183">
        <f t="shared" si="10"/>
        <v>4.4521579243996374</v>
      </c>
      <c r="F17" s="186">
        <f t="shared" si="11"/>
        <v>2.8717449686320986</v>
      </c>
      <c r="G17" s="174">
        <f t="shared" si="12"/>
        <v>5932.4714999999997</v>
      </c>
    </row>
    <row r="18" spans="1:17" ht="20.100000000000001" customHeight="1" x14ac:dyDescent="0.3">
      <c r="A18" s="127">
        <v>6</v>
      </c>
      <c r="B18" s="155" t="s">
        <v>31</v>
      </c>
      <c r="C18" s="171">
        <f t="shared" si="8"/>
        <v>1.6651790195592324</v>
      </c>
      <c r="D18" s="177">
        <f t="shared" si="9"/>
        <v>1.0290903600631727</v>
      </c>
      <c r="E18" s="183">
        <f t="shared" si="10"/>
        <v>4.6309066202842777</v>
      </c>
      <c r="F18" s="186">
        <f t="shared" si="11"/>
        <v>2.7810262835944592</v>
      </c>
      <c r="G18" s="174">
        <f t="shared" si="12"/>
        <v>5072.3275000000003</v>
      </c>
    </row>
    <row r="19" spans="1:17" ht="20.100000000000001" customHeight="1" thickBot="1" x14ac:dyDescent="0.35">
      <c r="A19" s="128">
        <v>7</v>
      </c>
      <c r="B19" s="156" t="s">
        <v>32</v>
      </c>
      <c r="C19" s="172">
        <f t="shared" si="8"/>
        <v>1.5988425485304774</v>
      </c>
      <c r="D19" s="178">
        <f t="shared" si="9"/>
        <v>1.0521754811304687</v>
      </c>
      <c r="E19" s="184">
        <f t="shared" si="10"/>
        <v>4.7347896650871091</v>
      </c>
      <c r="F19" s="187">
        <f t="shared" si="11"/>
        <v>2.9613858284162706</v>
      </c>
      <c r="G19" s="175">
        <f t="shared" si="12"/>
        <v>6844.5942857142863</v>
      </c>
    </row>
    <row r="20" spans="1:17" ht="20.100000000000001" customHeight="1" thickBot="1" x14ac:dyDescent="0.35">
      <c r="A20" s="114"/>
      <c r="B20" s="115"/>
      <c r="C20" s="5">
        <f t="shared" si="8"/>
        <v>1.5780581860324945</v>
      </c>
      <c r="D20" s="5">
        <f>(S10/4.5)/L10</f>
        <v>1.0038105960206232</v>
      </c>
      <c r="E20" s="6">
        <f t="shared" si="10"/>
        <v>4.5171476820928049</v>
      </c>
      <c r="F20" s="7">
        <f t="shared" si="11"/>
        <v>2.8624721965732323</v>
      </c>
      <c r="G20" s="28">
        <f>L10/E10</f>
        <v>5654.8114195583603</v>
      </c>
    </row>
    <row r="21" spans="1:17" ht="20.100000000000001" customHeight="1" thickBot="1" x14ac:dyDescent="0.35"/>
    <row r="22" spans="1:17" ht="20.100000000000001" customHeight="1" thickBot="1" x14ac:dyDescent="0.35">
      <c r="B22" s="163" t="s">
        <v>37</v>
      </c>
      <c r="C22" s="66" t="s">
        <v>38</v>
      </c>
      <c r="D22" s="66" t="s">
        <v>23</v>
      </c>
      <c r="E22" s="229" t="s">
        <v>22</v>
      </c>
      <c r="F22" s="230"/>
      <c r="G22" s="229" t="s">
        <v>23</v>
      </c>
      <c r="H22" s="231"/>
    </row>
    <row r="23" spans="1:17" ht="20.100000000000001" customHeight="1" x14ac:dyDescent="0.3">
      <c r="B23" s="164" t="s">
        <v>16</v>
      </c>
      <c r="C23" s="80">
        <v>228008</v>
      </c>
      <c r="D23" s="80">
        <v>1909378</v>
      </c>
      <c r="E23" s="74" t="s">
        <v>34</v>
      </c>
      <c r="F23" s="90">
        <f>C23</f>
        <v>228008</v>
      </c>
      <c r="G23" s="77" t="s">
        <v>34</v>
      </c>
      <c r="H23" s="87">
        <f>D23+D30</f>
        <v>1911930</v>
      </c>
      <c r="L23" s="94"/>
    </row>
    <row r="24" spans="1:17" ht="20.100000000000001" customHeight="1" x14ac:dyDescent="0.3">
      <c r="B24" s="165" t="s">
        <v>17</v>
      </c>
      <c r="C24" s="82">
        <v>77176</v>
      </c>
      <c r="D24" s="82">
        <v>1122168</v>
      </c>
      <c r="E24" s="75" t="s">
        <v>33</v>
      </c>
      <c r="F24" s="91">
        <f>SUM(C24:C30)</f>
        <v>1186141</v>
      </c>
      <c r="G24" s="78" t="s">
        <v>33</v>
      </c>
      <c r="H24" s="88">
        <f>SUM(D24:D29)</f>
        <v>10044150</v>
      </c>
      <c r="L24" s="94"/>
    </row>
    <row r="25" spans="1:17" ht="20.100000000000001" customHeight="1" x14ac:dyDescent="0.3">
      <c r="B25" s="165" t="s">
        <v>18</v>
      </c>
      <c r="C25" s="82">
        <v>542427</v>
      </c>
      <c r="D25" s="82">
        <v>4270134</v>
      </c>
      <c r="E25" s="75" t="s">
        <v>21</v>
      </c>
      <c r="F25" s="91">
        <f>C31</f>
        <v>245</v>
      </c>
      <c r="G25" s="78" t="s">
        <v>21</v>
      </c>
      <c r="H25" s="88">
        <f>D31</f>
        <v>49320</v>
      </c>
      <c r="L25" s="94"/>
    </row>
    <row r="26" spans="1:17" ht="20.100000000000001" customHeight="1" thickBot="1" x14ac:dyDescent="0.35">
      <c r="B26" s="165" t="s">
        <v>35</v>
      </c>
      <c r="C26" s="82">
        <v>103694</v>
      </c>
      <c r="D26" s="82">
        <v>1252798</v>
      </c>
      <c r="E26" s="76" t="s">
        <v>24</v>
      </c>
      <c r="F26" s="92">
        <f>C32</f>
        <v>0</v>
      </c>
      <c r="G26" s="79" t="s">
        <v>24</v>
      </c>
      <c r="H26" s="89">
        <f>D32</f>
        <v>60989</v>
      </c>
      <c r="L26" s="94"/>
      <c r="Q26" s="2"/>
    </row>
    <row r="27" spans="1:17" ht="20.100000000000001" customHeight="1" thickBot="1" x14ac:dyDescent="0.35">
      <c r="B27" s="165" t="s">
        <v>36</v>
      </c>
      <c r="C27" s="82">
        <v>213091</v>
      </c>
      <c r="D27" s="82">
        <v>1457383</v>
      </c>
      <c r="E27" s="71" t="s">
        <v>2</v>
      </c>
      <c r="F27" s="93">
        <f>SUM(F23:F26)</f>
        <v>1414394</v>
      </c>
      <c r="G27" s="73" t="s">
        <v>2</v>
      </c>
      <c r="H27" s="72">
        <f>SUM(H23:H26)</f>
        <v>12066389</v>
      </c>
    </row>
    <row r="28" spans="1:17" ht="20.100000000000001" customHeight="1" x14ac:dyDescent="0.3">
      <c r="B28" s="165" t="s">
        <v>19</v>
      </c>
      <c r="C28" s="82">
        <v>149634</v>
      </c>
      <c r="D28" s="82">
        <v>973470</v>
      </c>
      <c r="E28" s="56"/>
      <c r="F28" s="56"/>
      <c r="G28" s="56"/>
      <c r="H28" s="56"/>
    </row>
    <row r="29" spans="1:17" ht="20.100000000000001" customHeight="1" x14ac:dyDescent="0.3">
      <c r="B29" s="165" t="s">
        <v>20</v>
      </c>
      <c r="C29" s="82">
        <v>100119</v>
      </c>
      <c r="D29" s="82">
        <v>968197</v>
      </c>
      <c r="E29" s="56"/>
      <c r="F29" s="56"/>
      <c r="G29" s="56"/>
      <c r="H29" s="56"/>
    </row>
    <row r="30" spans="1:17" ht="20.100000000000001" customHeight="1" x14ac:dyDescent="0.3">
      <c r="B30" s="165" t="s">
        <v>39</v>
      </c>
      <c r="C30" s="82">
        <v>0</v>
      </c>
      <c r="D30" s="82">
        <v>2552</v>
      </c>
      <c r="E30" s="56"/>
      <c r="F30" s="56"/>
      <c r="G30" s="56"/>
      <c r="H30" s="56"/>
    </row>
    <row r="31" spans="1:17" ht="20.100000000000001" customHeight="1" x14ac:dyDescent="0.3">
      <c r="B31" s="165" t="s">
        <v>21</v>
      </c>
      <c r="C31" s="82">
        <v>245</v>
      </c>
      <c r="D31" s="82">
        <v>49320</v>
      </c>
      <c r="E31" s="56"/>
      <c r="F31" s="56"/>
      <c r="G31" s="56"/>
      <c r="H31" s="56"/>
    </row>
    <row r="32" spans="1:17" ht="20.100000000000001" customHeight="1" x14ac:dyDescent="0.3">
      <c r="B32" s="165" t="s">
        <v>24</v>
      </c>
      <c r="C32" s="166">
        <v>0</v>
      </c>
      <c r="D32" s="82">
        <v>60989</v>
      </c>
      <c r="E32" s="56"/>
      <c r="F32" s="56"/>
      <c r="G32" s="56"/>
      <c r="H32" s="56"/>
    </row>
    <row r="33" spans="2:8" ht="20.100000000000001" customHeight="1" thickBot="1" x14ac:dyDescent="0.35">
      <c r="B33" s="57" t="s">
        <v>2</v>
      </c>
      <c r="C33" s="86">
        <f>SUM(C23:C32)</f>
        <v>1414394</v>
      </c>
      <c r="D33" s="86">
        <f>SUM(D23:D32)</f>
        <v>12066389</v>
      </c>
      <c r="E33" s="58">
        <f>C33/D33</f>
        <v>0.11721766967731606</v>
      </c>
      <c r="F33" s="56"/>
      <c r="G33" s="56"/>
      <c r="H33" s="56"/>
    </row>
    <row r="34" spans="2:8" ht="20.100000000000001" customHeight="1" x14ac:dyDescent="0.3">
      <c r="C34" s="2"/>
      <c r="D34" s="2"/>
    </row>
  </sheetData>
  <mergeCells count="9">
    <mergeCell ref="L1:M1"/>
    <mergeCell ref="Q1:R1"/>
    <mergeCell ref="S1:T1"/>
    <mergeCell ref="A12:B12"/>
    <mergeCell ref="E22:F22"/>
    <mergeCell ref="G22:H22"/>
    <mergeCell ref="A1:B2"/>
    <mergeCell ref="C1:F1"/>
    <mergeCell ref="G1:H1"/>
  </mergeCells>
  <pageMargins left="0.511811024" right="0.511811024" top="0.78740157499999996" bottom="0.78740157499999996" header="0.31496062000000002" footer="0.31496062000000002"/>
  <pageSetup paperSize="9" scale="93" orientation="landscape" r:id="rId1"/>
  <rowBreaks count="1" manualBreakCount="1">
    <brk id="21" max="19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0F108-EA50-4E37-BD89-7ED8F14CE4B3}">
  <sheetPr>
    <tabColor rgb="FF00B050"/>
  </sheetPr>
  <dimension ref="A1:T34"/>
  <sheetViews>
    <sheetView topLeftCell="A22" zoomScale="85" zoomScaleNormal="85" workbookViewId="0">
      <selection activeCell="U6" sqref="U6"/>
    </sheetView>
  </sheetViews>
  <sheetFormatPr defaultRowHeight="20.100000000000001" customHeight="1" x14ac:dyDescent="0.3"/>
  <cols>
    <col min="1" max="1" width="4.6640625" style="1" customWidth="1"/>
    <col min="2" max="2" width="18.5546875" bestFit="1" customWidth="1"/>
    <col min="3" max="3" width="10.5546875" bestFit="1" customWidth="1"/>
    <col min="4" max="4" width="10.109375" bestFit="1" customWidth="1"/>
    <col min="6" max="6" width="9.5546875" bestFit="1" customWidth="1"/>
    <col min="8" max="8" width="10.109375" bestFit="1" customWidth="1"/>
    <col min="9" max="11" width="9.109375" hidden="1" customWidth="1"/>
    <col min="12" max="12" width="11.6640625" bestFit="1" customWidth="1"/>
    <col min="13" max="13" width="9.33203125" customWidth="1"/>
    <col min="14" max="15" width="9.109375" hidden="1" customWidth="1"/>
    <col min="16" max="16" width="8.109375" hidden="1" customWidth="1"/>
    <col min="18" max="18" width="10.109375" bestFit="1" customWidth="1"/>
    <col min="19" max="19" width="15.88671875" bestFit="1" customWidth="1"/>
    <col min="21" max="21" width="18.5546875" bestFit="1" customWidth="1"/>
    <col min="22" max="22" width="15.88671875" bestFit="1" customWidth="1"/>
    <col min="24" max="24" width="10.109375" bestFit="1" customWidth="1"/>
  </cols>
  <sheetData>
    <row r="1" spans="1:20" ht="20.100000000000001" customHeight="1" thickBot="1" x14ac:dyDescent="0.35">
      <c r="A1" s="232" t="s">
        <v>0</v>
      </c>
      <c r="B1" s="233"/>
      <c r="C1" s="225" t="s">
        <v>1</v>
      </c>
      <c r="D1" s="236"/>
      <c r="E1" s="236"/>
      <c r="F1" s="226"/>
      <c r="G1" s="225" t="s">
        <v>5</v>
      </c>
      <c r="H1" s="226"/>
      <c r="I1" s="68"/>
      <c r="J1" s="69"/>
      <c r="K1" s="70"/>
      <c r="L1" s="225" t="s">
        <v>11</v>
      </c>
      <c r="M1" s="226"/>
      <c r="N1" s="122"/>
      <c r="O1" s="122"/>
      <c r="P1" s="122"/>
      <c r="Q1" s="225" t="s">
        <v>10</v>
      </c>
      <c r="R1" s="226"/>
      <c r="S1" s="225" t="s">
        <v>9</v>
      </c>
      <c r="T1" s="226"/>
    </row>
    <row r="2" spans="1:20" ht="20.100000000000001" customHeight="1" thickBot="1" x14ac:dyDescent="0.35">
      <c r="A2" s="234"/>
      <c r="B2" s="235"/>
      <c r="C2" s="140" t="s">
        <v>2</v>
      </c>
      <c r="D2" s="140" t="s">
        <v>3</v>
      </c>
      <c r="E2" s="140" t="s">
        <v>4</v>
      </c>
      <c r="F2" s="140" t="s">
        <v>3</v>
      </c>
      <c r="G2" s="140" t="s">
        <v>4</v>
      </c>
      <c r="H2" s="140" t="s">
        <v>3</v>
      </c>
      <c r="I2" s="141" t="s">
        <v>6</v>
      </c>
      <c r="J2" s="142" t="s">
        <v>7</v>
      </c>
      <c r="K2" s="143" t="s">
        <v>8</v>
      </c>
      <c r="L2" s="140" t="s">
        <v>4</v>
      </c>
      <c r="M2" s="144" t="s">
        <v>3</v>
      </c>
      <c r="N2" s="145" t="s">
        <v>6</v>
      </c>
      <c r="O2" s="146" t="s">
        <v>7</v>
      </c>
      <c r="P2" s="147" t="s">
        <v>8</v>
      </c>
      <c r="Q2" s="140" t="s">
        <v>4</v>
      </c>
      <c r="R2" s="140" t="s">
        <v>3</v>
      </c>
      <c r="S2" s="140" t="s">
        <v>4</v>
      </c>
      <c r="T2" s="140" t="s">
        <v>3</v>
      </c>
    </row>
    <row r="3" spans="1:20" ht="20.100000000000001" customHeight="1" x14ac:dyDescent="0.3">
      <c r="A3" s="10">
        <v>1</v>
      </c>
      <c r="B3" s="151" t="s">
        <v>26</v>
      </c>
      <c r="C3" s="157">
        <v>20</v>
      </c>
      <c r="D3" s="34">
        <f t="shared" ref="D3:D9" si="0">C3/C$10</f>
        <v>7.7821011673151752E-2</v>
      </c>
      <c r="E3" s="160">
        <v>11.450000000000001</v>
      </c>
      <c r="F3" s="116">
        <f t="shared" ref="F3:F9" si="1">E3/E$10</f>
        <v>7.1350148367952532E-2</v>
      </c>
      <c r="G3" s="167">
        <f>((I3*20)+(J3*5)+(K3*5))</f>
        <v>1719.0238095238094</v>
      </c>
      <c r="H3" s="188">
        <f t="shared" ref="H3:H9" si="2">G3/G$10</f>
        <v>7.8616924040843902E-2</v>
      </c>
      <c r="I3" s="189">
        <v>64.909523809523805</v>
      </c>
      <c r="J3" s="190">
        <v>53.5</v>
      </c>
      <c r="K3" s="191">
        <v>30.666666666666668</v>
      </c>
      <c r="L3" s="170">
        <f>((N3*19)+(O3*5)+(P3*5))</f>
        <v>57570.410833333342</v>
      </c>
      <c r="M3" s="188">
        <f t="shared" ref="M3:M9" si="3">L3/L$10</f>
        <v>6.4229428069722566E-2</v>
      </c>
      <c r="N3" s="192">
        <v>2236.9141666666669</v>
      </c>
      <c r="O3" s="193">
        <v>1877.2916666666667</v>
      </c>
      <c r="P3" s="194">
        <v>1136.5166666666667</v>
      </c>
      <c r="Q3" s="167">
        <v>83097</v>
      </c>
      <c r="R3" s="116">
        <f>Q3/Q$10</f>
        <v>6.6407951340633944E-2</v>
      </c>
      <c r="S3" s="179">
        <v>235413</v>
      </c>
      <c r="T3" s="188">
        <f t="shared" ref="T3:T9" si="4">S3/S$10</f>
        <v>6.4310120478521193E-2</v>
      </c>
    </row>
    <row r="4" spans="1:20" ht="20.100000000000001" customHeight="1" x14ac:dyDescent="0.3">
      <c r="A4" s="14">
        <v>2</v>
      </c>
      <c r="B4" s="152" t="s">
        <v>27</v>
      </c>
      <c r="C4" s="158">
        <v>40</v>
      </c>
      <c r="D4" s="36">
        <f t="shared" si="0"/>
        <v>0.1556420233463035</v>
      </c>
      <c r="E4" s="161">
        <v>25.571428571428573</v>
      </c>
      <c r="F4" s="118">
        <f t="shared" si="1"/>
        <v>0.15934718100890208</v>
      </c>
      <c r="G4" s="168">
        <f t="shared" ref="G4:G9" si="5">((I4*19)+(J4*5)+(K4*5))</f>
        <v>3383.5047619047618</v>
      </c>
      <c r="H4" s="195">
        <f t="shared" si="2"/>
        <v>0.15473941395389151</v>
      </c>
      <c r="I4" s="196">
        <v>132.94761904761904</v>
      </c>
      <c r="J4" s="197">
        <v>114.66666666666667</v>
      </c>
      <c r="K4" s="198">
        <v>56.833333333333336</v>
      </c>
      <c r="L4" s="171">
        <f t="shared" ref="L4:L9" si="6">((N4*19)+(O4*5)+(P4*5))</f>
        <v>139206.60595238098</v>
      </c>
      <c r="M4" s="195">
        <f t="shared" si="3"/>
        <v>0.15530826607670697</v>
      </c>
      <c r="N4" s="199">
        <v>5486.8761904761914</v>
      </c>
      <c r="O4" s="200">
        <v>4700.4749999999995</v>
      </c>
      <c r="P4" s="201">
        <v>2290.7166666666667</v>
      </c>
      <c r="Q4" s="168">
        <v>186784</v>
      </c>
      <c r="R4" s="118">
        <f t="shared" ref="R4:R9" si="7">Q4/Q$10</f>
        <v>0.14927064494757897</v>
      </c>
      <c r="S4" s="180">
        <v>553317.75</v>
      </c>
      <c r="T4" s="195">
        <f t="shared" si="4"/>
        <v>0.15115533621934332</v>
      </c>
    </row>
    <row r="5" spans="1:20" ht="20.100000000000001" customHeight="1" x14ac:dyDescent="0.3">
      <c r="A5" s="14">
        <v>3</v>
      </c>
      <c r="B5" s="152" t="s">
        <v>28</v>
      </c>
      <c r="C5" s="158">
        <v>97</v>
      </c>
      <c r="D5" s="36">
        <f>C5/C$10</f>
        <v>0.37743190661478598</v>
      </c>
      <c r="E5" s="161">
        <v>67.319047619047623</v>
      </c>
      <c r="F5" s="118">
        <f>E5/E$10</f>
        <v>0.41949554896142432</v>
      </c>
      <c r="G5" s="168">
        <f>((I5*19)+(J5*5)+(K5*5))</f>
        <v>8705.388095238095</v>
      </c>
      <c r="H5" s="195">
        <f>G5/G$10</f>
        <v>0.39812760639946271</v>
      </c>
      <c r="I5" s="196">
        <v>332.56428571428575</v>
      </c>
      <c r="J5" s="197">
        <v>297.33333333333331</v>
      </c>
      <c r="K5" s="198">
        <v>180</v>
      </c>
      <c r="L5" s="171">
        <f>((N5*19)+(O5*5)+(P5*5))</f>
        <v>395514.10928571428</v>
      </c>
      <c r="M5" s="195">
        <f>L5/L$10</f>
        <v>0.44126218078364715</v>
      </c>
      <c r="N5" s="199">
        <v>15213.847857142857</v>
      </c>
      <c r="O5" s="200">
        <v>12830.733333333332</v>
      </c>
      <c r="P5" s="201">
        <v>8459.4666666666672</v>
      </c>
      <c r="Q5" s="168">
        <v>566546</v>
      </c>
      <c r="R5" s="118">
        <f>Q6/Q$10</f>
        <v>8.487338479402802E-2</v>
      </c>
      <c r="S5" s="180">
        <v>1679982.75</v>
      </c>
      <c r="T5" s="195">
        <f>S5/S$10</f>
        <v>0.45893766722456852</v>
      </c>
    </row>
    <row r="6" spans="1:20" ht="20.100000000000001" customHeight="1" x14ac:dyDescent="0.3">
      <c r="A6" s="14">
        <v>4</v>
      </c>
      <c r="B6" s="152" t="s">
        <v>29</v>
      </c>
      <c r="C6" s="158">
        <v>21</v>
      </c>
      <c r="D6" s="36">
        <f>C6/C$10</f>
        <v>8.171206225680934E-2</v>
      </c>
      <c r="E6" s="161">
        <v>12.445238095238096</v>
      </c>
      <c r="F6" s="118">
        <f>E6/E$10</f>
        <v>7.7551928783382795E-2</v>
      </c>
      <c r="G6" s="168">
        <f>((I6*19)+(J6*5)+(K6*5))</f>
        <v>1903.2547619047618</v>
      </c>
      <c r="H6" s="195">
        <f>G6/G$10</f>
        <v>8.7042444798068219E-2</v>
      </c>
      <c r="I6" s="196">
        <v>69.864285714285714</v>
      </c>
      <c r="J6" s="197">
        <v>67</v>
      </c>
      <c r="K6" s="198">
        <v>48.166666666666664</v>
      </c>
      <c r="L6" s="171">
        <f>((N6*19)+(O6*5)+(P6*5))</f>
        <v>68737.30595238095</v>
      </c>
      <c r="M6" s="195">
        <f>L6/L$10</f>
        <v>7.6687968428022724E-2</v>
      </c>
      <c r="N6" s="199">
        <v>2556.5095238095237</v>
      </c>
      <c r="O6" s="200">
        <v>2347.2916666666665</v>
      </c>
      <c r="P6" s="201">
        <v>1685.4333333333334</v>
      </c>
      <c r="Q6" s="168">
        <v>106203</v>
      </c>
      <c r="R6" s="118">
        <f>Q7/Q$10</f>
        <v>6.3063459044154488E-2</v>
      </c>
      <c r="S6" s="180">
        <v>303075</v>
      </c>
      <c r="T6" s="195">
        <f>S6/S$10</f>
        <v>8.2794024816079864E-2</v>
      </c>
    </row>
    <row r="7" spans="1:20" ht="20.100000000000001" customHeight="1" x14ac:dyDescent="0.3">
      <c r="A7" s="14">
        <v>5</v>
      </c>
      <c r="B7" s="152" t="s">
        <v>30</v>
      </c>
      <c r="C7" s="158">
        <v>20</v>
      </c>
      <c r="D7" s="36">
        <f>C7/C$10</f>
        <v>7.7821011673151752E-2</v>
      </c>
      <c r="E7" s="161">
        <v>10.626190476190475</v>
      </c>
      <c r="F7" s="118">
        <f>E7/E$10</f>
        <v>6.6216617210682477E-2</v>
      </c>
      <c r="G7" s="168">
        <f>((I7*19)+(J7*5)+(K7*5))</f>
        <v>1328.8095238095236</v>
      </c>
      <c r="H7" s="195">
        <f>G7/G$10</f>
        <v>6.0771070661913576E-2</v>
      </c>
      <c r="I7" s="196">
        <v>51.428571428571423</v>
      </c>
      <c r="J7" s="197">
        <v>47.166666666666664</v>
      </c>
      <c r="K7" s="198">
        <v>23.166666666666668</v>
      </c>
      <c r="L7" s="171">
        <f>((N7*19)+(O7*5)+(P7*5))</f>
        <v>65624.784761904753</v>
      </c>
      <c r="M7" s="195">
        <f>L7/L$10</f>
        <v>7.3215430139249096E-2</v>
      </c>
      <c r="N7" s="199">
        <v>2550.9842857142853</v>
      </c>
      <c r="O7" s="200">
        <v>2403.6749999999997</v>
      </c>
      <c r="P7" s="201">
        <v>1027.5416666666667</v>
      </c>
      <c r="Q7" s="168">
        <v>78912</v>
      </c>
      <c r="R7" s="118">
        <f>Q5/Q$10</f>
        <v>0.45276194327389435</v>
      </c>
      <c r="S7" s="180">
        <v>232767</v>
      </c>
      <c r="T7" s="195">
        <f>S7/S$10</f>
        <v>6.3587286230683701E-2</v>
      </c>
    </row>
    <row r="8" spans="1:20" ht="20.100000000000001" customHeight="1" x14ac:dyDescent="0.3">
      <c r="A8" s="14">
        <v>6</v>
      </c>
      <c r="B8" s="152" t="s">
        <v>31</v>
      </c>
      <c r="C8" s="158">
        <v>55</v>
      </c>
      <c r="D8" s="36">
        <f t="shared" si="0"/>
        <v>0.2140077821011673</v>
      </c>
      <c r="E8" s="161">
        <v>31.207142857142856</v>
      </c>
      <c r="F8" s="118">
        <f t="shared" si="1"/>
        <v>0.19446587537091986</v>
      </c>
      <c r="G8" s="168">
        <f t="shared" si="5"/>
        <v>4633.8785714285714</v>
      </c>
      <c r="H8" s="195">
        <f t="shared" si="2"/>
        <v>0.21192334721961192</v>
      </c>
      <c r="I8" s="196">
        <v>176.16904761904763</v>
      </c>
      <c r="J8" s="197">
        <v>163.83333333333334</v>
      </c>
      <c r="K8" s="198">
        <v>93.5</v>
      </c>
      <c r="L8" s="171">
        <f t="shared" si="6"/>
        <v>157592.36904761902</v>
      </c>
      <c r="M8" s="195">
        <f t="shared" si="3"/>
        <v>0.17582066178726188</v>
      </c>
      <c r="N8" s="199">
        <v>5984.1654761904756</v>
      </c>
      <c r="O8" s="200">
        <v>5796.2166666666672</v>
      </c>
      <c r="P8" s="201">
        <v>2982.4283333333333</v>
      </c>
      <c r="Q8" s="168">
        <v>218381</v>
      </c>
      <c r="R8" s="118">
        <f t="shared" si="7"/>
        <v>0.1745217615764586</v>
      </c>
      <c r="S8" s="180">
        <v>623099.25</v>
      </c>
      <c r="T8" s="195">
        <f t="shared" si="4"/>
        <v>0.17021824554113915</v>
      </c>
    </row>
    <row r="9" spans="1:20" ht="20.100000000000001" customHeight="1" thickBot="1" x14ac:dyDescent="0.35">
      <c r="A9" s="15">
        <v>7</v>
      </c>
      <c r="B9" s="153" t="s">
        <v>32</v>
      </c>
      <c r="C9" s="159">
        <v>4</v>
      </c>
      <c r="D9" s="38">
        <f t="shared" si="0"/>
        <v>1.556420233463035E-2</v>
      </c>
      <c r="E9" s="162">
        <v>1.857142857142857</v>
      </c>
      <c r="F9" s="120">
        <f t="shared" si="1"/>
        <v>1.1572700296735903E-2</v>
      </c>
      <c r="G9" s="169">
        <f t="shared" si="5"/>
        <v>191.96428571428569</v>
      </c>
      <c r="H9" s="202">
        <f t="shared" si="2"/>
        <v>8.7791929262081743E-3</v>
      </c>
      <c r="I9" s="203">
        <v>7.1428571428571423</v>
      </c>
      <c r="J9" s="204">
        <v>7.25</v>
      </c>
      <c r="K9" s="205">
        <v>4</v>
      </c>
      <c r="L9" s="172">
        <f t="shared" si="6"/>
        <v>12078.927142857141</v>
      </c>
      <c r="M9" s="202">
        <f t="shared" si="3"/>
        <v>1.3476064715389525E-2</v>
      </c>
      <c r="N9" s="206">
        <v>542.57642857142855</v>
      </c>
      <c r="O9" s="207">
        <v>242.58499999999998</v>
      </c>
      <c r="P9" s="208">
        <v>111.41</v>
      </c>
      <c r="Q9" s="169">
        <v>11388</v>
      </c>
      <c r="R9" s="120">
        <f t="shared" si="7"/>
        <v>9.1008550232516139E-3</v>
      </c>
      <c r="S9" s="181">
        <v>32935.5</v>
      </c>
      <c r="T9" s="202">
        <f t="shared" si="4"/>
        <v>8.9973194896642694E-3</v>
      </c>
    </row>
    <row r="10" spans="1:20" ht="20.100000000000001" customHeight="1" thickBot="1" x14ac:dyDescent="0.35">
      <c r="C10" s="25">
        <f>SUM(C3:C9)</f>
        <v>257</v>
      </c>
      <c r="E10" s="26">
        <f>SUM(E3:E9)</f>
        <v>160.47619047619048</v>
      </c>
      <c r="G10" s="27">
        <f>SUM(G3:G9)</f>
        <v>21865.823809523808</v>
      </c>
      <c r="L10" s="28">
        <f>SUM(L3:L9)</f>
        <v>896324.51297619054</v>
      </c>
      <c r="N10" s="28">
        <f>SUM(N3:N9)</f>
        <v>34571.873928571425</v>
      </c>
      <c r="Q10" s="27">
        <f>SUM(Q3:Q9)</f>
        <v>1251311</v>
      </c>
      <c r="S10" s="6">
        <f>SUM(S3:S9)</f>
        <v>3660590.25</v>
      </c>
    </row>
    <row r="11" spans="1:20" ht="20.100000000000001" customHeight="1" thickBot="1" x14ac:dyDescent="0.35"/>
    <row r="12" spans="1:20" ht="20.100000000000001" customHeight="1" thickBot="1" x14ac:dyDescent="0.35">
      <c r="A12" s="227" t="s">
        <v>0</v>
      </c>
      <c r="B12" s="228"/>
      <c r="C12" s="138" t="s">
        <v>12</v>
      </c>
      <c r="D12" s="136" t="s">
        <v>13</v>
      </c>
      <c r="E12" s="136" t="s">
        <v>14</v>
      </c>
      <c r="F12" s="139" t="s">
        <v>15</v>
      </c>
      <c r="G12" s="136" t="s">
        <v>25</v>
      </c>
      <c r="L12" s="95"/>
      <c r="M12" s="62"/>
    </row>
    <row r="13" spans="1:20" ht="20.100000000000001" customHeight="1" x14ac:dyDescent="0.3">
      <c r="A13" s="126">
        <v>1</v>
      </c>
      <c r="B13" s="154" t="s">
        <v>26</v>
      </c>
      <c r="C13" s="50">
        <f>Q3/L3</f>
        <v>1.4433977245805363</v>
      </c>
      <c r="D13" s="209">
        <f>(S3/4.5)/L3</f>
        <v>0.90869596451985235</v>
      </c>
      <c r="E13" s="11">
        <f>S3/L3</f>
        <v>4.089131840339336</v>
      </c>
      <c r="F13" s="210">
        <f>S3/Q3</f>
        <v>2.8329903606628397</v>
      </c>
      <c r="G13" s="19">
        <f>L3/E3</f>
        <v>5027.9834788937414</v>
      </c>
      <c r="L13" s="2"/>
      <c r="S13" s="215"/>
    </row>
    <row r="14" spans="1:20" ht="20.100000000000001" customHeight="1" x14ac:dyDescent="0.3">
      <c r="A14" s="127">
        <v>2</v>
      </c>
      <c r="B14" s="155" t="s">
        <v>27</v>
      </c>
      <c r="C14" s="51">
        <f t="shared" ref="C14:C20" si="8">Q4/L4</f>
        <v>1.3417754044222157</v>
      </c>
      <c r="D14" s="211">
        <f t="shared" ref="D14:D19" si="9">(S4/4.5)/L4</f>
        <v>0.88328782358260571</v>
      </c>
      <c r="E14" s="3">
        <f t="shared" ref="E14:E20" si="10">S4/L4</f>
        <v>3.9747952061217258</v>
      </c>
      <c r="F14" s="212">
        <f t="shared" ref="F14:F20" si="11">S4/Q4</f>
        <v>2.9623401897378789</v>
      </c>
      <c r="G14" s="20">
        <f t="shared" ref="G14:G19" si="12">L4/E4</f>
        <v>5443.8337523277478</v>
      </c>
    </row>
    <row r="15" spans="1:20" ht="20.100000000000001" customHeight="1" x14ac:dyDescent="0.3">
      <c r="A15" s="127">
        <v>3</v>
      </c>
      <c r="B15" s="155" t="s">
        <v>28</v>
      </c>
      <c r="C15" s="51">
        <f t="shared" si="8"/>
        <v>1.4324293032760924</v>
      </c>
      <c r="D15" s="211">
        <f t="shared" si="9"/>
        <v>0.9439094364401337</v>
      </c>
      <c r="E15" s="3">
        <f t="shared" si="10"/>
        <v>4.2475924639806015</v>
      </c>
      <c r="F15" s="212">
        <f t="shared" si="11"/>
        <v>2.965306877111479</v>
      </c>
      <c r="G15" s="20">
        <f t="shared" si="12"/>
        <v>5875.2184303600479</v>
      </c>
    </row>
    <row r="16" spans="1:20" ht="20.100000000000001" customHeight="1" x14ac:dyDescent="0.3">
      <c r="A16" s="127">
        <v>4</v>
      </c>
      <c r="B16" s="155" t="s">
        <v>29</v>
      </c>
      <c r="C16" s="51">
        <f t="shared" si="8"/>
        <v>1.545056189335877</v>
      </c>
      <c r="D16" s="211">
        <f t="shared" si="9"/>
        <v>0.97981727777719374</v>
      </c>
      <c r="E16" s="3">
        <f t="shared" si="10"/>
        <v>4.4091777499973723</v>
      </c>
      <c r="F16" s="212">
        <f t="shared" si="11"/>
        <v>2.8537329453970228</v>
      </c>
      <c r="G16" s="20">
        <f t="shared" si="12"/>
        <v>5523.1812703271471</v>
      </c>
    </row>
    <row r="17" spans="1:17" ht="20.100000000000001" customHeight="1" x14ac:dyDescent="0.3">
      <c r="A17" s="127">
        <v>5</v>
      </c>
      <c r="B17" s="155" t="s">
        <v>30</v>
      </c>
      <c r="C17" s="51">
        <f t="shared" si="8"/>
        <v>1.2024725153202862</v>
      </c>
      <c r="D17" s="211">
        <f t="shared" si="9"/>
        <v>0.78820829946595106</v>
      </c>
      <c r="E17" s="3">
        <f t="shared" si="10"/>
        <v>3.5469373475967796</v>
      </c>
      <c r="F17" s="212">
        <f t="shared" si="11"/>
        <v>2.9497034671532845</v>
      </c>
      <c r="G17" s="20">
        <f t="shared" si="12"/>
        <v>6175.7583688102177</v>
      </c>
    </row>
    <row r="18" spans="1:17" ht="20.100000000000001" customHeight="1" x14ac:dyDescent="0.3">
      <c r="A18" s="127">
        <v>6</v>
      </c>
      <c r="B18" s="155" t="s">
        <v>31</v>
      </c>
      <c r="C18" s="51">
        <f t="shared" si="8"/>
        <v>1.3857333405148109</v>
      </c>
      <c r="D18" s="211">
        <f t="shared" si="9"/>
        <v>0.8786370865340577</v>
      </c>
      <c r="E18" s="3">
        <f t="shared" si="10"/>
        <v>3.95386688940326</v>
      </c>
      <c r="F18" s="212">
        <f t="shared" si="11"/>
        <v>2.8532667677133086</v>
      </c>
      <c r="G18" s="20">
        <f t="shared" si="12"/>
        <v>5049.8813611047526</v>
      </c>
    </row>
    <row r="19" spans="1:17" ht="20.100000000000001" customHeight="1" thickBot="1" x14ac:dyDescent="0.35">
      <c r="A19" s="128">
        <v>7</v>
      </c>
      <c r="B19" s="156" t="s">
        <v>32</v>
      </c>
      <c r="C19" s="52">
        <f t="shared" si="8"/>
        <v>0.94279896428833754</v>
      </c>
      <c r="D19" s="213">
        <f t="shared" si="9"/>
        <v>0.60593129782458222</v>
      </c>
      <c r="E19" s="16">
        <f t="shared" si="10"/>
        <v>2.7266908402106198</v>
      </c>
      <c r="F19" s="214">
        <f t="shared" si="11"/>
        <v>2.8921232876712328</v>
      </c>
      <c r="G19" s="21">
        <f t="shared" si="12"/>
        <v>6504.0376923076919</v>
      </c>
    </row>
    <row r="20" spans="1:17" ht="20.100000000000001" customHeight="1" thickBot="1" x14ac:dyDescent="0.35">
      <c r="A20" s="114"/>
      <c r="B20" s="115"/>
      <c r="C20" s="5">
        <f t="shared" si="8"/>
        <v>1.3960468355875917</v>
      </c>
      <c r="D20" s="5">
        <f>(S10/4.5)/L10</f>
        <v>0.90755578835944251</v>
      </c>
      <c r="E20" s="6">
        <f t="shared" si="10"/>
        <v>4.0840010476174911</v>
      </c>
      <c r="F20" s="7">
        <f t="shared" si="11"/>
        <v>2.9254040362467846</v>
      </c>
      <c r="G20" s="28">
        <f>L10/E10</f>
        <v>5585.4049770029678</v>
      </c>
    </row>
    <row r="21" spans="1:17" ht="20.100000000000001" customHeight="1" thickBot="1" x14ac:dyDescent="0.35"/>
    <row r="22" spans="1:17" ht="20.100000000000001" customHeight="1" thickBot="1" x14ac:dyDescent="0.35">
      <c r="B22" s="163" t="s">
        <v>37</v>
      </c>
      <c r="C22" s="66" t="s">
        <v>38</v>
      </c>
      <c r="D22" s="66" t="s">
        <v>23</v>
      </c>
      <c r="E22" s="229" t="s">
        <v>22</v>
      </c>
      <c r="F22" s="230"/>
      <c r="G22" s="229" t="s">
        <v>23</v>
      </c>
      <c r="H22" s="231"/>
    </row>
    <row r="23" spans="1:17" ht="20.100000000000001" customHeight="1" x14ac:dyDescent="0.3">
      <c r="B23" s="164" t="s">
        <v>16</v>
      </c>
      <c r="C23" s="80">
        <v>212447</v>
      </c>
      <c r="D23" s="80">
        <v>1789870</v>
      </c>
      <c r="E23" s="74" t="s">
        <v>34</v>
      </c>
      <c r="F23" s="90">
        <f>C23</f>
        <v>212447</v>
      </c>
      <c r="G23" s="77" t="s">
        <v>34</v>
      </c>
      <c r="H23" s="87">
        <f>D23+D30</f>
        <v>1792084</v>
      </c>
      <c r="L23" s="94"/>
    </row>
    <row r="24" spans="1:17" ht="20.100000000000001" customHeight="1" x14ac:dyDescent="0.3">
      <c r="B24" s="165" t="s">
        <v>17</v>
      </c>
      <c r="C24" s="82">
        <v>70713</v>
      </c>
      <c r="D24" s="82">
        <v>1027163</v>
      </c>
      <c r="E24" s="75" t="s">
        <v>33</v>
      </c>
      <c r="F24" s="91">
        <f>SUM(C24:C30)</f>
        <v>1038635</v>
      </c>
      <c r="G24" s="78" t="s">
        <v>33</v>
      </c>
      <c r="H24" s="88">
        <f>SUM(D24:D29)</f>
        <v>9162894</v>
      </c>
      <c r="L24" s="94"/>
    </row>
    <row r="25" spans="1:17" ht="20.100000000000001" customHeight="1" x14ac:dyDescent="0.3">
      <c r="B25" s="165" t="s">
        <v>18</v>
      </c>
      <c r="C25" s="82">
        <v>482795</v>
      </c>
      <c r="D25" s="82">
        <v>3899772</v>
      </c>
      <c r="E25" s="75" t="s">
        <v>21</v>
      </c>
      <c r="F25" s="91">
        <f>C31</f>
        <v>229</v>
      </c>
      <c r="G25" s="78" t="s">
        <v>21</v>
      </c>
      <c r="H25" s="88">
        <f>D31</f>
        <v>51974</v>
      </c>
      <c r="L25" s="94"/>
    </row>
    <row r="26" spans="1:17" ht="20.100000000000001" customHeight="1" thickBot="1" x14ac:dyDescent="0.35">
      <c r="B26" s="165" t="s">
        <v>35</v>
      </c>
      <c r="C26" s="82">
        <v>94561</v>
      </c>
      <c r="D26" s="82">
        <v>1250737</v>
      </c>
      <c r="E26" s="76" t="s">
        <v>24</v>
      </c>
      <c r="F26" s="92">
        <f>C32</f>
        <v>0</v>
      </c>
      <c r="G26" s="79" t="s">
        <v>24</v>
      </c>
      <c r="H26" s="89">
        <f>D32</f>
        <v>58255</v>
      </c>
      <c r="L26" s="94"/>
      <c r="Q26" s="2"/>
    </row>
    <row r="27" spans="1:17" ht="20.100000000000001" customHeight="1" thickBot="1" x14ac:dyDescent="0.35">
      <c r="B27" s="165" t="s">
        <v>36</v>
      </c>
      <c r="C27" s="82">
        <v>168489</v>
      </c>
      <c r="D27" s="82">
        <v>1196125</v>
      </c>
      <c r="E27" s="71" t="s">
        <v>2</v>
      </c>
      <c r="F27" s="93">
        <f>SUM(F23:F26)</f>
        <v>1251311</v>
      </c>
      <c r="G27" s="73" t="s">
        <v>2</v>
      </c>
      <c r="H27" s="72">
        <f>SUM(H23:H26)</f>
        <v>11065207</v>
      </c>
    </row>
    <row r="28" spans="1:17" ht="20.100000000000001" customHeight="1" x14ac:dyDescent="0.3">
      <c r="B28" s="165" t="s">
        <v>19</v>
      </c>
      <c r="C28" s="82">
        <v>133805</v>
      </c>
      <c r="D28" s="82">
        <v>902154</v>
      </c>
      <c r="E28" s="56"/>
      <c r="F28" s="56"/>
      <c r="G28" s="56"/>
      <c r="H28" s="56"/>
    </row>
    <row r="29" spans="1:17" ht="20.100000000000001" customHeight="1" x14ac:dyDescent="0.3">
      <c r="B29" s="165" t="s">
        <v>20</v>
      </c>
      <c r="C29" s="82">
        <v>88272</v>
      </c>
      <c r="D29" s="82">
        <v>886943</v>
      </c>
      <c r="E29" s="56"/>
      <c r="F29" s="56"/>
      <c r="G29" s="56"/>
      <c r="H29" s="56"/>
    </row>
    <row r="30" spans="1:17" ht="20.100000000000001" customHeight="1" x14ac:dyDescent="0.3">
      <c r="B30" s="165" t="s">
        <v>39</v>
      </c>
      <c r="C30" s="82">
        <v>0</v>
      </c>
      <c r="D30" s="82">
        <v>2214</v>
      </c>
      <c r="E30" s="56"/>
      <c r="F30" s="56"/>
      <c r="G30" s="56"/>
      <c r="H30" s="56"/>
    </row>
    <row r="31" spans="1:17" ht="20.100000000000001" customHeight="1" x14ac:dyDescent="0.3">
      <c r="B31" s="165" t="s">
        <v>21</v>
      </c>
      <c r="C31" s="82">
        <v>229</v>
      </c>
      <c r="D31" s="82">
        <v>51974</v>
      </c>
      <c r="E31" s="56"/>
      <c r="F31" s="56"/>
      <c r="G31" s="56"/>
      <c r="H31" s="56"/>
    </row>
    <row r="32" spans="1:17" ht="20.100000000000001" customHeight="1" x14ac:dyDescent="0.3">
      <c r="B32" s="165" t="s">
        <v>24</v>
      </c>
      <c r="C32" s="166">
        <v>0</v>
      </c>
      <c r="D32" s="82">
        <v>58255</v>
      </c>
      <c r="E32" s="56"/>
      <c r="F32" s="56"/>
      <c r="G32" s="56"/>
      <c r="H32" s="56"/>
    </row>
    <row r="33" spans="2:8" ht="20.100000000000001" customHeight="1" thickBot="1" x14ac:dyDescent="0.35">
      <c r="B33" s="57" t="s">
        <v>2</v>
      </c>
      <c r="C33" s="86">
        <f>SUM(C23:C32)</f>
        <v>1251311</v>
      </c>
      <c r="D33" s="86">
        <f>SUM(D23:D32)</f>
        <v>11065207</v>
      </c>
      <c r="E33" s="58">
        <f>C33/D33</f>
        <v>0.11308518674797498</v>
      </c>
      <c r="F33" s="56"/>
      <c r="G33" s="216"/>
      <c r="H33" s="56"/>
    </row>
    <row r="34" spans="2:8" ht="20.100000000000001" customHeight="1" x14ac:dyDescent="0.3">
      <c r="C34" s="2"/>
      <c r="D34" s="2"/>
    </row>
  </sheetData>
  <mergeCells count="9">
    <mergeCell ref="L1:M1"/>
    <mergeCell ref="Q1:R1"/>
    <mergeCell ref="S1:T1"/>
    <mergeCell ref="A12:B12"/>
    <mergeCell ref="E22:F22"/>
    <mergeCell ref="G22:H22"/>
    <mergeCell ref="A1:B2"/>
    <mergeCell ref="C1:F1"/>
    <mergeCell ref="G1:H1"/>
  </mergeCells>
  <pageMargins left="0.511811024" right="0.511811024" top="0.78740157499999996" bottom="0.78740157499999996" header="0.31496062000000002" footer="0.31496062000000002"/>
  <pageSetup paperSize="9" scale="93" orientation="landscape" r:id="rId1"/>
  <rowBreaks count="1" manualBreakCount="1">
    <brk id="21" max="19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1980C-E9BF-47CF-AF3E-C60B665978A5}">
  <sheetPr>
    <tabColor rgb="FF00B050"/>
  </sheetPr>
  <dimension ref="A1:T34"/>
  <sheetViews>
    <sheetView zoomScale="85" zoomScaleNormal="85" workbookViewId="0">
      <selection activeCell="D16" sqref="D16"/>
    </sheetView>
  </sheetViews>
  <sheetFormatPr defaultRowHeight="20.100000000000001" customHeight="1" x14ac:dyDescent="0.3"/>
  <cols>
    <col min="1" max="1" width="4.6640625" style="1" customWidth="1"/>
    <col min="2" max="2" width="18.5546875" bestFit="1" customWidth="1"/>
    <col min="3" max="3" width="10.5546875" bestFit="1" customWidth="1"/>
    <col min="4" max="4" width="10.109375" bestFit="1" customWidth="1"/>
    <col min="6" max="6" width="9.5546875" bestFit="1" customWidth="1"/>
    <col min="8" max="8" width="12.44140625" bestFit="1" customWidth="1"/>
    <col min="9" max="11" width="9" hidden="1" customWidth="1"/>
    <col min="12" max="12" width="12.44140625" customWidth="1"/>
    <col min="13" max="13" width="9.33203125" customWidth="1"/>
    <col min="14" max="15" width="9.109375" hidden="1" customWidth="1"/>
    <col min="16" max="16" width="8.109375" hidden="1" customWidth="1"/>
    <col min="18" max="18" width="10.109375" bestFit="1" customWidth="1"/>
    <col min="19" max="19" width="15.88671875" bestFit="1" customWidth="1"/>
    <col min="21" max="21" width="18.5546875" bestFit="1" customWidth="1"/>
    <col min="22" max="22" width="15.88671875" bestFit="1" customWidth="1"/>
    <col min="24" max="24" width="10.109375" bestFit="1" customWidth="1"/>
  </cols>
  <sheetData>
    <row r="1" spans="1:20" ht="20.100000000000001" customHeight="1" thickBot="1" x14ac:dyDescent="0.35">
      <c r="A1" s="232" t="s">
        <v>0</v>
      </c>
      <c r="B1" s="233"/>
      <c r="C1" s="225" t="s">
        <v>1</v>
      </c>
      <c r="D1" s="236"/>
      <c r="E1" s="236"/>
      <c r="F1" s="226"/>
      <c r="G1" s="225" t="s">
        <v>5</v>
      </c>
      <c r="H1" s="226"/>
      <c r="I1" s="68"/>
      <c r="J1" s="69"/>
      <c r="K1" s="70"/>
      <c r="L1" s="225" t="s">
        <v>11</v>
      </c>
      <c r="M1" s="226"/>
      <c r="N1" s="122"/>
      <c r="O1" s="122"/>
      <c r="P1" s="122"/>
      <c r="Q1" s="225" t="s">
        <v>10</v>
      </c>
      <c r="R1" s="226"/>
      <c r="S1" s="225" t="s">
        <v>9</v>
      </c>
      <c r="T1" s="226"/>
    </row>
    <row r="2" spans="1:20" ht="20.100000000000001" customHeight="1" thickBot="1" x14ac:dyDescent="0.35">
      <c r="A2" s="234"/>
      <c r="B2" s="235"/>
      <c r="C2" s="140" t="s">
        <v>2</v>
      </c>
      <c r="D2" s="140" t="s">
        <v>3</v>
      </c>
      <c r="E2" s="140" t="s">
        <v>4</v>
      </c>
      <c r="F2" s="140" t="s">
        <v>3</v>
      </c>
      <c r="G2" s="140" t="s">
        <v>4</v>
      </c>
      <c r="H2" s="140" t="s">
        <v>3</v>
      </c>
      <c r="I2" s="141" t="s">
        <v>6</v>
      </c>
      <c r="J2" s="142" t="s">
        <v>7</v>
      </c>
      <c r="K2" s="143" t="s">
        <v>8</v>
      </c>
      <c r="L2" s="140" t="s">
        <v>4</v>
      </c>
      <c r="M2" s="144" t="s">
        <v>3</v>
      </c>
      <c r="N2" s="145" t="s">
        <v>6</v>
      </c>
      <c r="O2" s="146" t="s">
        <v>7</v>
      </c>
      <c r="P2" s="147" t="s">
        <v>8</v>
      </c>
      <c r="Q2" s="140" t="s">
        <v>4</v>
      </c>
      <c r="R2" s="140" t="s">
        <v>3</v>
      </c>
      <c r="S2" s="140" t="s">
        <v>4</v>
      </c>
      <c r="T2" s="140" t="s">
        <v>3</v>
      </c>
    </row>
    <row r="3" spans="1:20" ht="20.100000000000001" customHeight="1" x14ac:dyDescent="0.3">
      <c r="A3" s="10">
        <v>1</v>
      </c>
      <c r="B3" s="151" t="s">
        <v>26</v>
      </c>
      <c r="C3" s="157">
        <v>20</v>
      </c>
      <c r="D3" s="34">
        <f t="shared" ref="D3:D9" si="0">C3/C$10</f>
        <v>7.7821011673151752E-2</v>
      </c>
      <c r="E3" s="160">
        <v>10</v>
      </c>
      <c r="F3" s="116">
        <f>E3/E$10</f>
        <v>6.2084257206208256E-2</v>
      </c>
      <c r="G3" s="44">
        <f>((I3*20)+(J3*5)+(K3*5))</f>
        <v>1719.0238095238094</v>
      </c>
      <c r="H3" s="188">
        <f>G3/G$10</f>
        <v>7.8619389552274863E-2</v>
      </c>
      <c r="I3" s="189">
        <v>64.909523809523805</v>
      </c>
      <c r="J3" s="190">
        <v>53.5</v>
      </c>
      <c r="K3" s="191">
        <v>30.666666666666668</v>
      </c>
      <c r="L3" s="223">
        <f>((N3*19)+(O3*5)+(P3*5))</f>
        <v>57589.410833333401</v>
      </c>
      <c r="M3" s="188">
        <f t="shared" ref="M3:M9" si="1">L3/L$10</f>
        <v>6.4243816650232793E-2</v>
      </c>
      <c r="N3" s="192">
        <v>2237.9141666666701</v>
      </c>
      <c r="O3" s="193">
        <v>1877.2916666666667</v>
      </c>
      <c r="P3" s="194">
        <v>1136.5166666666667</v>
      </c>
      <c r="Q3" s="44">
        <v>85780</v>
      </c>
      <c r="R3" s="116">
        <f>Q3/Q$10</f>
        <v>6.5392511345349152E-2</v>
      </c>
      <c r="S3" s="224">
        <v>255669.75</v>
      </c>
      <c r="T3" s="188">
        <f t="shared" ref="T3:T9" si="2">S3/S$10</f>
        <v>6.4209441976659232E-2</v>
      </c>
    </row>
    <row r="4" spans="1:20" ht="20.100000000000001" customHeight="1" x14ac:dyDescent="0.3">
      <c r="A4" s="14">
        <v>2</v>
      </c>
      <c r="B4" s="152" t="s">
        <v>27</v>
      </c>
      <c r="C4" s="158">
        <v>39</v>
      </c>
      <c r="D4" s="36">
        <f t="shared" si="0"/>
        <v>0.1517509727626459</v>
      </c>
      <c r="E4" s="161">
        <v>27</v>
      </c>
      <c r="F4" s="118">
        <f t="shared" ref="F4:F9" si="3">E4/E$10</f>
        <v>0.16762749445676228</v>
      </c>
      <c r="G4" s="45">
        <f t="shared" ref="G4:G8" si="4">((I4*19)+(J4*5)+(K4*5))</f>
        <v>3383.5047619047618</v>
      </c>
      <c r="H4" s="195">
        <f t="shared" ref="H4:H9" si="5">G4/G$10</f>
        <v>0.15474426674861197</v>
      </c>
      <c r="I4" s="196">
        <v>132.94761904761904</v>
      </c>
      <c r="J4" s="197">
        <v>114.66666666666667</v>
      </c>
      <c r="K4" s="198">
        <v>56.833333333333336</v>
      </c>
      <c r="L4" s="51">
        <f t="shared" ref="L4:L9" si="6">((N4*19)+(O4*5)+(P4*5))</f>
        <v>139225.60595238092</v>
      </c>
      <c r="M4" s="195">
        <f t="shared" si="1"/>
        <v>0.1553130023800349</v>
      </c>
      <c r="N4" s="199">
        <v>5487.8761904761895</v>
      </c>
      <c r="O4" s="200">
        <v>4700.4749999999995</v>
      </c>
      <c r="P4" s="201">
        <v>2290.7166666666667</v>
      </c>
      <c r="Q4" s="45">
        <v>187501</v>
      </c>
      <c r="R4" s="118">
        <f t="shared" ref="R4:R9" si="7">Q4/Q$10</f>
        <v>0.14293729622014817</v>
      </c>
      <c r="S4" s="119">
        <v>582545.25</v>
      </c>
      <c r="T4" s="195">
        <f t="shared" si="2"/>
        <v>0.14630164666978962</v>
      </c>
    </row>
    <row r="5" spans="1:20" ht="20.100000000000001" customHeight="1" x14ac:dyDescent="0.3">
      <c r="A5" s="14">
        <v>3</v>
      </c>
      <c r="B5" s="152" t="s">
        <v>28</v>
      </c>
      <c r="C5" s="158">
        <v>99</v>
      </c>
      <c r="D5" s="36">
        <f>C5/C$10</f>
        <v>0.38521400778210119</v>
      </c>
      <c r="E5" s="161">
        <v>68</v>
      </c>
      <c r="F5" s="118">
        <f>E5/E$10</f>
        <v>0.42217294900221614</v>
      </c>
      <c r="G5" s="45">
        <f>((I5*19)+(J5*5)+(K5*5))</f>
        <v>8780.6666666666642</v>
      </c>
      <c r="H5" s="195">
        <f>G5/G$10</f>
        <v>0.40158295037610403</v>
      </c>
      <c r="I5" s="196">
        <v>336</v>
      </c>
      <c r="J5" s="197">
        <v>299.33333333333297</v>
      </c>
      <c r="K5" s="198">
        <v>180</v>
      </c>
      <c r="L5" s="51">
        <f>((N5*19)+(O5*5)+(P5*5))</f>
        <v>400687.58535714337</v>
      </c>
      <c r="M5" s="195">
        <f>L5/L$10</f>
        <v>0.44698668375348671</v>
      </c>
      <c r="N5" s="199">
        <v>15486.1360714286</v>
      </c>
      <c r="O5" s="200">
        <v>12830.733333333332</v>
      </c>
      <c r="P5" s="201">
        <v>8459.4666666666672</v>
      </c>
      <c r="Q5" s="45">
        <v>596399</v>
      </c>
      <c r="R5" s="118">
        <f>Q6/Q$10</f>
        <v>8.4563540435030199E-2</v>
      </c>
      <c r="S5" s="119">
        <v>1824945.75</v>
      </c>
      <c r="T5" s="195">
        <f>S5/S$10</f>
        <v>0.45832073698658465</v>
      </c>
    </row>
    <row r="6" spans="1:20" ht="20.100000000000001" customHeight="1" x14ac:dyDescent="0.3">
      <c r="A6" s="14">
        <v>4</v>
      </c>
      <c r="B6" s="152" t="s">
        <v>29</v>
      </c>
      <c r="C6" s="158">
        <v>21</v>
      </c>
      <c r="D6" s="36">
        <f>C6/C$10</f>
        <v>8.171206225680934E-2</v>
      </c>
      <c r="E6" s="161">
        <v>12.445238095238096</v>
      </c>
      <c r="F6" s="118">
        <f>E6/E$10</f>
        <v>7.726533628972633E-2</v>
      </c>
      <c r="G6" s="45">
        <f>((I6*19)+(J6*5)+(K6*5))</f>
        <v>1903.2547619047618</v>
      </c>
      <c r="H6" s="195">
        <f>G6/G$10</f>
        <v>8.7045174542906834E-2</v>
      </c>
      <c r="I6" s="196">
        <v>69.864285714285714</v>
      </c>
      <c r="J6" s="197">
        <v>67</v>
      </c>
      <c r="K6" s="198">
        <v>48.166666666666664</v>
      </c>
      <c r="L6" s="51">
        <f>((N6*19)+(O6*5)+(P6*5))</f>
        <v>68737.30595238095</v>
      </c>
      <c r="M6" s="195">
        <f>L6/L$10</f>
        <v>7.6679841254422357E-2</v>
      </c>
      <c r="N6" s="199">
        <v>2556.5095238095237</v>
      </c>
      <c r="O6" s="200">
        <v>2347.2916666666665</v>
      </c>
      <c r="P6" s="201">
        <v>1685.4333333333334</v>
      </c>
      <c r="Q6" s="45">
        <v>110928</v>
      </c>
      <c r="R6" s="118">
        <f>Q7/Q$10</f>
        <v>6.9873476391839731E-2</v>
      </c>
      <c r="S6" s="119">
        <v>329877</v>
      </c>
      <c r="T6" s="195">
        <f>S6/S$10</f>
        <v>8.2846007753887257E-2</v>
      </c>
    </row>
    <row r="7" spans="1:20" ht="20.100000000000001" customHeight="1" x14ac:dyDescent="0.3">
      <c r="A7" s="14">
        <v>5</v>
      </c>
      <c r="B7" s="152" t="s">
        <v>30</v>
      </c>
      <c r="C7" s="158">
        <v>20</v>
      </c>
      <c r="D7" s="36">
        <f>C7/C$10</f>
        <v>7.7821011673151752E-2</v>
      </c>
      <c r="E7" s="161">
        <v>10.626190476190475</v>
      </c>
      <c r="F7" s="118">
        <f>E7/E$10</f>
        <v>6.5971914264597004E-2</v>
      </c>
      <c r="G7" s="45">
        <f>((I7*19)+(J7*5)+(K7*5))</f>
        <v>1328.8095238095236</v>
      </c>
      <c r="H7" s="195">
        <f>G7/G$10</f>
        <v>6.0772976508157453E-2</v>
      </c>
      <c r="I7" s="196">
        <v>51.428571428571423</v>
      </c>
      <c r="J7" s="197">
        <v>47.166666666666664</v>
      </c>
      <c r="K7" s="198">
        <v>23.166666666666668</v>
      </c>
      <c r="L7" s="51">
        <f>((N7*19)+(O7*5)+(P7*5))</f>
        <v>65643.784761904841</v>
      </c>
      <c r="M7" s="195">
        <f>L7/L$10</f>
        <v>7.3228866408721657E-2</v>
      </c>
      <c r="N7" s="199">
        <v>2551.9842857142899</v>
      </c>
      <c r="O7" s="200">
        <v>2403.6749999999997</v>
      </c>
      <c r="P7" s="201">
        <v>1027.5416666666667</v>
      </c>
      <c r="Q7" s="45">
        <v>91658</v>
      </c>
      <c r="R7" s="118">
        <f>Q5/Q$10</f>
        <v>0.4546517646753892</v>
      </c>
      <c r="S7" s="119">
        <v>277899.75</v>
      </c>
      <c r="T7" s="195">
        <f>S7/S$10</f>
        <v>6.9792331212249814E-2</v>
      </c>
    </row>
    <row r="8" spans="1:20" ht="20.100000000000001" customHeight="1" x14ac:dyDescent="0.3">
      <c r="A8" s="14">
        <v>6</v>
      </c>
      <c r="B8" s="152" t="s">
        <v>31</v>
      </c>
      <c r="C8" s="158">
        <v>55</v>
      </c>
      <c r="D8" s="36">
        <f t="shared" si="0"/>
        <v>0.2140077821011673</v>
      </c>
      <c r="E8" s="161">
        <v>32</v>
      </c>
      <c r="F8" s="118">
        <f t="shared" si="3"/>
        <v>0.19866962305986643</v>
      </c>
      <c r="G8" s="45">
        <f t="shared" si="4"/>
        <v>4633.8785714285787</v>
      </c>
      <c r="H8" s="195">
        <f t="shared" si="5"/>
        <v>0.21192999336408344</v>
      </c>
      <c r="I8" s="196">
        <v>176.169047619048</v>
      </c>
      <c r="J8" s="197">
        <v>163.83333333333334</v>
      </c>
      <c r="K8" s="198">
        <v>93.5</v>
      </c>
      <c r="L8" s="51">
        <f t="shared" si="6"/>
        <v>157611.36904761911</v>
      </c>
      <c r="M8" s="195">
        <f t="shared" si="1"/>
        <v>0.17582322424501401</v>
      </c>
      <c r="N8" s="199">
        <v>5985.1654761904801</v>
      </c>
      <c r="O8" s="200">
        <v>5796.2166666666672</v>
      </c>
      <c r="P8" s="201">
        <v>2982.4283333333333</v>
      </c>
      <c r="Q8" s="45">
        <v>232271</v>
      </c>
      <c r="R8" s="118">
        <f t="shared" si="7"/>
        <v>0.17706672887264621</v>
      </c>
      <c r="S8" s="119">
        <v>690048</v>
      </c>
      <c r="T8" s="195">
        <f t="shared" si="2"/>
        <v>0.17330011476566839</v>
      </c>
    </row>
    <row r="9" spans="1:20" ht="20.100000000000001" customHeight="1" thickBot="1" x14ac:dyDescent="0.35">
      <c r="A9" s="15">
        <v>7</v>
      </c>
      <c r="B9" s="153" t="s">
        <v>32</v>
      </c>
      <c r="C9" s="159">
        <v>3</v>
      </c>
      <c r="D9" s="38">
        <f t="shared" si="0"/>
        <v>1.1673151750972763E-2</v>
      </c>
      <c r="E9" s="162">
        <v>1</v>
      </c>
      <c r="F9" s="120">
        <f t="shared" si="3"/>
        <v>6.2084257206208261E-3</v>
      </c>
      <c r="G9" s="46">
        <f>((I9*19)+(J9*5)+(K9*5))</f>
        <v>116</v>
      </c>
      <c r="H9" s="202">
        <f t="shared" si="5"/>
        <v>5.3052489078613714E-3</v>
      </c>
      <c r="I9" s="203">
        <v>4</v>
      </c>
      <c r="J9" s="204">
        <v>4</v>
      </c>
      <c r="K9" s="205">
        <v>4</v>
      </c>
      <c r="L9" s="52">
        <f t="shared" si="6"/>
        <v>6924.4510714285716</v>
      </c>
      <c r="M9" s="202">
        <f t="shared" si="1"/>
        <v>7.7245653080874914E-3</v>
      </c>
      <c r="N9" s="206">
        <v>271.28821428571428</v>
      </c>
      <c r="O9" s="207">
        <v>242.58499999999998</v>
      </c>
      <c r="P9" s="208">
        <v>111.41</v>
      </c>
      <c r="Q9" s="46">
        <v>7234</v>
      </c>
      <c r="R9" s="120">
        <f t="shared" si="7"/>
        <v>5.5146820595972923E-3</v>
      </c>
      <c r="S9" s="121">
        <v>20823.75</v>
      </c>
      <c r="T9" s="202">
        <f t="shared" si="2"/>
        <v>5.2297206351610134E-3</v>
      </c>
    </row>
    <row r="10" spans="1:20" ht="20.100000000000001" customHeight="1" thickBot="1" x14ac:dyDescent="0.35">
      <c r="C10" s="25">
        <v>257</v>
      </c>
      <c r="E10" s="26">
        <v>161.07142857142901</v>
      </c>
      <c r="G10" s="27">
        <f>SUM(G3:G9)</f>
        <v>21865.138095238101</v>
      </c>
      <c r="I10">
        <v>835.31904761904809</v>
      </c>
      <c r="J10">
        <v>749.49999999999966</v>
      </c>
      <c r="K10">
        <v>436.33333333333337</v>
      </c>
      <c r="L10" s="28">
        <f>SUM(L3:L9)</f>
        <v>896419.51297619124</v>
      </c>
      <c r="N10" s="28">
        <v>34576.873928571498</v>
      </c>
      <c r="O10">
        <v>30198.268333333333</v>
      </c>
      <c r="P10">
        <v>17693.513333333332</v>
      </c>
      <c r="Q10" s="27">
        <v>1311771</v>
      </c>
      <c r="S10" s="6">
        <v>3981809.25</v>
      </c>
    </row>
    <row r="11" spans="1:20" ht="20.100000000000001" customHeight="1" thickBot="1" x14ac:dyDescent="0.35"/>
    <row r="12" spans="1:20" ht="20.100000000000001" customHeight="1" thickBot="1" x14ac:dyDescent="0.35">
      <c r="A12" s="227" t="s">
        <v>0</v>
      </c>
      <c r="B12" s="228"/>
      <c r="C12" s="138" t="s">
        <v>12</v>
      </c>
      <c r="D12" s="136" t="s">
        <v>13</v>
      </c>
      <c r="E12" s="136" t="s">
        <v>14</v>
      </c>
      <c r="F12" s="139" t="s">
        <v>15</v>
      </c>
      <c r="G12" s="136" t="s">
        <v>25</v>
      </c>
      <c r="L12" s="95"/>
      <c r="M12" s="62"/>
    </row>
    <row r="13" spans="1:20" ht="20.100000000000001" customHeight="1" x14ac:dyDescent="0.3">
      <c r="A13" s="126">
        <v>1</v>
      </c>
      <c r="B13" s="154" t="s">
        <v>26</v>
      </c>
      <c r="C13" s="50">
        <f>Q3/L3</f>
        <v>1.4895099421706459</v>
      </c>
      <c r="D13" s="209">
        <f>(S3/5)/L3</f>
        <v>0.88790541976517479</v>
      </c>
      <c r="E13" s="11">
        <f>S3/L3</f>
        <v>4.4395270988258746</v>
      </c>
      <c r="F13" s="210">
        <f>S3/Q3</f>
        <v>2.9805286780135232</v>
      </c>
      <c r="G13" s="19">
        <f>L3/E3</f>
        <v>5758.9410833333404</v>
      </c>
      <c r="L13" s="2"/>
      <c r="S13" s="215"/>
    </row>
    <row r="14" spans="1:20" ht="20.100000000000001" customHeight="1" x14ac:dyDescent="0.3">
      <c r="A14" s="127">
        <v>2</v>
      </c>
      <c r="B14" s="155" t="s">
        <v>27</v>
      </c>
      <c r="C14" s="51">
        <f>Q4/L4</f>
        <v>1.346742208212264</v>
      </c>
      <c r="D14" s="211">
        <f t="shared" ref="D14:D19" si="8">(S4/4.5)/L4</f>
        <v>0.92981818333243305</v>
      </c>
      <c r="E14" s="3">
        <f t="shared" ref="E14:E20" si="9">S4/L4</f>
        <v>4.1841818249959486</v>
      </c>
      <c r="F14" s="212">
        <f t="shared" ref="F14:F20" si="10">S4/Q4</f>
        <v>3.1068914299123738</v>
      </c>
      <c r="G14" s="20">
        <f t="shared" ref="G14:G19" si="11">L4/E4</f>
        <v>5156.5039241622562</v>
      </c>
    </row>
    <row r="15" spans="1:20" ht="20.100000000000001" customHeight="1" x14ac:dyDescent="0.3">
      <c r="A15" s="127">
        <v>3</v>
      </c>
      <c r="B15" s="155" t="s">
        <v>28</v>
      </c>
      <c r="C15" s="51">
        <f t="shared" ref="C15:C20" si="12">Q5/L5</f>
        <v>1.4884389279703136</v>
      </c>
      <c r="D15" s="211">
        <f t="shared" si="8"/>
        <v>1.0121189545678797</v>
      </c>
      <c r="E15" s="3">
        <f t="shared" si="9"/>
        <v>4.5545352955554588</v>
      </c>
      <c r="F15" s="212">
        <f t="shared" si="10"/>
        <v>3.0599409958769215</v>
      </c>
      <c r="G15" s="20">
        <f t="shared" si="11"/>
        <v>5892.4644905462264</v>
      </c>
    </row>
    <row r="16" spans="1:20" ht="20.100000000000001" customHeight="1" x14ac:dyDescent="0.3">
      <c r="A16" s="127">
        <v>4</v>
      </c>
      <c r="B16" s="155" t="s">
        <v>29</v>
      </c>
      <c r="C16" s="51">
        <f>Q6/L6</f>
        <v>1.6137961542578849</v>
      </c>
      <c r="D16" s="211">
        <f>(S6/4.5)/L6</f>
        <v>1.0664660039307345</v>
      </c>
      <c r="E16" s="3">
        <f>S6/L6</f>
        <v>4.7990970176883048</v>
      </c>
      <c r="F16" s="212">
        <f t="shared" si="10"/>
        <v>2.9737938122025098</v>
      </c>
      <c r="G16" s="20">
        <f t="shared" si="11"/>
        <v>5523.1812703271471</v>
      </c>
    </row>
    <row r="17" spans="1:17" ht="20.100000000000001" customHeight="1" x14ac:dyDescent="0.3">
      <c r="A17" s="127">
        <v>5</v>
      </c>
      <c r="B17" s="155" t="s">
        <v>30</v>
      </c>
      <c r="C17" s="51">
        <f t="shared" si="12"/>
        <v>1.3962936526656828</v>
      </c>
      <c r="D17" s="211">
        <f t="shared" si="8"/>
        <v>0.94076690160373977</v>
      </c>
      <c r="E17" s="3">
        <f t="shared" si="9"/>
        <v>4.2334510572168291</v>
      </c>
      <c r="F17" s="212">
        <f t="shared" si="10"/>
        <v>3.0319202906456613</v>
      </c>
      <c r="G17" s="20">
        <f t="shared" si="11"/>
        <v>6177.5464037642923</v>
      </c>
    </row>
    <row r="18" spans="1:17" ht="20.100000000000001" customHeight="1" x14ac:dyDescent="0.3">
      <c r="A18" s="127">
        <v>6</v>
      </c>
      <c r="B18" s="155" t="s">
        <v>31</v>
      </c>
      <c r="C18" s="51">
        <f t="shared" si="12"/>
        <v>1.4736944511269614</v>
      </c>
      <c r="D18" s="211">
        <f t="shared" si="8"/>
        <v>0.97292473840304117</v>
      </c>
      <c r="E18" s="3">
        <f t="shared" si="9"/>
        <v>4.3781613228136855</v>
      </c>
      <c r="F18" s="212">
        <f t="shared" si="10"/>
        <v>2.9708745387930477</v>
      </c>
      <c r="G18" s="20">
        <f t="shared" si="11"/>
        <v>4925.3552827380972</v>
      </c>
    </row>
    <row r="19" spans="1:17" ht="20.100000000000001" customHeight="1" thickBot="1" x14ac:dyDescent="0.35">
      <c r="A19" s="128">
        <v>7</v>
      </c>
      <c r="B19" s="156" t="s">
        <v>32</v>
      </c>
      <c r="C19" s="52">
        <f t="shared" si="12"/>
        <v>1.0447037498537146</v>
      </c>
      <c r="D19" s="213">
        <f t="shared" si="8"/>
        <v>0.66828402024441025</v>
      </c>
      <c r="E19" s="16">
        <f t="shared" si="9"/>
        <v>3.0072780910998462</v>
      </c>
      <c r="F19" s="214">
        <f t="shared" si="10"/>
        <v>2.8785941387890519</v>
      </c>
      <c r="G19" s="21">
        <f t="shared" si="11"/>
        <v>6924.4510714285716</v>
      </c>
    </row>
    <row r="20" spans="1:17" ht="20.100000000000001" customHeight="1" thickBot="1" x14ac:dyDescent="0.35">
      <c r="A20" s="114"/>
      <c r="B20" s="115"/>
      <c r="C20" s="5">
        <f t="shared" si="12"/>
        <v>1.4633449863722907</v>
      </c>
      <c r="D20" s="5">
        <f>(S10/4.5)/L10</f>
        <v>0.98708973554383284</v>
      </c>
      <c r="E20" s="6">
        <f t="shared" si="9"/>
        <v>4.4419038099472479</v>
      </c>
      <c r="F20" s="7">
        <f t="shared" si="10"/>
        <v>3.0354454016745303</v>
      </c>
      <c r="G20" s="28">
        <f>L10/E10</f>
        <v>5565.3539608277797</v>
      </c>
    </row>
    <row r="21" spans="1:17" ht="20.100000000000001" customHeight="1" thickBot="1" x14ac:dyDescent="0.35"/>
    <row r="22" spans="1:17" ht="20.100000000000001" customHeight="1" thickBot="1" x14ac:dyDescent="0.35">
      <c r="B22" s="163" t="s">
        <v>37</v>
      </c>
      <c r="C22" s="66" t="s">
        <v>38</v>
      </c>
      <c r="D22" s="66" t="s">
        <v>23</v>
      </c>
      <c r="E22" s="229" t="s">
        <v>22</v>
      </c>
      <c r="F22" s="230"/>
      <c r="G22" s="229" t="s">
        <v>23</v>
      </c>
      <c r="H22" s="231"/>
    </row>
    <row r="23" spans="1:17" ht="20.100000000000001" customHeight="1" x14ac:dyDescent="0.3">
      <c r="B23" s="164" t="s">
        <v>16</v>
      </c>
      <c r="C23" s="80">
        <v>261527</v>
      </c>
      <c r="D23" s="80">
        <v>2682051</v>
      </c>
      <c r="E23" s="74" t="s">
        <v>34</v>
      </c>
      <c r="F23" s="90">
        <f>C23</f>
        <v>261527</v>
      </c>
      <c r="G23" s="77" t="s">
        <v>34</v>
      </c>
      <c r="H23" s="87">
        <f>D23+D30</f>
        <v>2684582</v>
      </c>
      <c r="L23" s="94"/>
    </row>
    <row r="24" spans="1:17" ht="20.100000000000001" customHeight="1" x14ac:dyDescent="0.3">
      <c r="B24" s="165" t="s">
        <v>17</v>
      </c>
      <c r="C24" s="82">
        <v>75404</v>
      </c>
      <c r="D24" s="82">
        <v>1108516</v>
      </c>
      <c r="E24" s="75" t="s">
        <v>33</v>
      </c>
      <c r="F24" s="91">
        <f>SUM(C24:C30)</f>
        <v>1049938</v>
      </c>
      <c r="G24" s="78" t="s">
        <v>33</v>
      </c>
      <c r="H24" s="88">
        <f>SUM(D24:D29)</f>
        <v>9420964</v>
      </c>
      <c r="L24" s="94"/>
    </row>
    <row r="25" spans="1:17" ht="20.100000000000001" customHeight="1" x14ac:dyDescent="0.3">
      <c r="B25" s="165" t="s">
        <v>18</v>
      </c>
      <c r="C25" s="82">
        <v>498934</v>
      </c>
      <c r="D25" s="82">
        <v>4081021</v>
      </c>
      <c r="E25" s="75" t="s">
        <v>21</v>
      </c>
      <c r="F25" s="91">
        <f>C31</f>
        <v>306</v>
      </c>
      <c r="G25" s="78" t="s">
        <v>21</v>
      </c>
      <c r="H25" s="88">
        <f>D31</f>
        <v>57896</v>
      </c>
      <c r="L25" s="94"/>
    </row>
    <row r="26" spans="1:17" ht="20.100000000000001" customHeight="1" thickBot="1" x14ac:dyDescent="0.35">
      <c r="B26" s="165" t="s">
        <v>35</v>
      </c>
      <c r="C26" s="82">
        <v>97351</v>
      </c>
      <c r="D26" s="82">
        <v>1276156</v>
      </c>
      <c r="E26" s="76" t="s">
        <v>24</v>
      </c>
      <c r="F26" s="92">
        <f>C32</f>
        <v>0</v>
      </c>
      <c r="G26" s="79" t="s">
        <v>24</v>
      </c>
      <c r="H26" s="89">
        <f>D32</f>
        <v>61415</v>
      </c>
      <c r="L26" s="94"/>
      <c r="Q26" s="2"/>
    </row>
    <row r="27" spans="1:17" ht="20.100000000000001" customHeight="1" thickBot="1" x14ac:dyDescent="0.35">
      <c r="B27" s="165" t="s">
        <v>36</v>
      </c>
      <c r="C27" s="82">
        <v>154354</v>
      </c>
      <c r="D27" s="82">
        <v>1109268</v>
      </c>
      <c r="E27" s="71" t="s">
        <v>2</v>
      </c>
      <c r="F27" s="93">
        <f>SUM(F23:F26)</f>
        <v>1311771</v>
      </c>
      <c r="G27" s="73" t="s">
        <v>2</v>
      </c>
      <c r="H27" s="72">
        <f>SUM(H23:H26)</f>
        <v>12224857</v>
      </c>
    </row>
    <row r="28" spans="1:17" ht="20.100000000000001" customHeight="1" x14ac:dyDescent="0.3">
      <c r="B28" s="165" t="s">
        <v>19</v>
      </c>
      <c r="C28" s="82">
        <v>132597</v>
      </c>
      <c r="D28" s="82">
        <v>912662</v>
      </c>
      <c r="E28" s="56"/>
      <c r="F28" s="56"/>
      <c r="G28" s="56"/>
      <c r="H28" s="56"/>
    </row>
    <row r="29" spans="1:17" ht="20.100000000000001" customHeight="1" x14ac:dyDescent="0.3">
      <c r="B29" s="165" t="s">
        <v>20</v>
      </c>
      <c r="C29" s="82">
        <v>91298</v>
      </c>
      <c r="D29" s="82">
        <v>933341</v>
      </c>
      <c r="E29" s="56"/>
      <c r="F29" s="56"/>
      <c r="G29" s="56"/>
      <c r="H29" s="56"/>
    </row>
    <row r="30" spans="1:17" ht="20.100000000000001" customHeight="1" x14ac:dyDescent="0.3">
      <c r="B30" s="165" t="s">
        <v>39</v>
      </c>
      <c r="C30" s="82">
        <v>0</v>
      </c>
      <c r="D30" s="82">
        <v>2531</v>
      </c>
      <c r="E30" s="56"/>
      <c r="F30" s="56"/>
      <c r="G30" s="56"/>
      <c r="H30" s="56"/>
    </row>
    <row r="31" spans="1:17" ht="20.100000000000001" customHeight="1" x14ac:dyDescent="0.3">
      <c r="B31" s="165" t="s">
        <v>21</v>
      </c>
      <c r="C31" s="82">
        <v>306</v>
      </c>
      <c r="D31" s="82">
        <v>57896</v>
      </c>
      <c r="E31" s="56"/>
      <c r="F31" s="56"/>
      <c r="G31" s="56"/>
      <c r="H31" s="56"/>
    </row>
    <row r="32" spans="1:17" ht="20.100000000000001" customHeight="1" x14ac:dyDescent="0.3">
      <c r="B32" s="165" t="s">
        <v>24</v>
      </c>
      <c r="C32" s="166">
        <v>0</v>
      </c>
      <c r="D32" s="82">
        <v>61415</v>
      </c>
      <c r="E32" s="56"/>
      <c r="F32" s="56"/>
      <c r="G32" s="56"/>
      <c r="H32" s="56"/>
    </row>
    <row r="33" spans="2:8" ht="20.100000000000001" customHeight="1" thickBot="1" x14ac:dyDescent="0.35">
      <c r="B33" s="57" t="s">
        <v>2</v>
      </c>
      <c r="C33" s="86">
        <f>SUM(C23:C32)</f>
        <v>1311771</v>
      </c>
      <c r="D33" s="86">
        <f>SUM(D23:D32)</f>
        <v>12224857</v>
      </c>
      <c r="E33" s="58">
        <f>C33/D33</f>
        <v>0.10730358645503993</v>
      </c>
      <c r="F33" s="56"/>
      <c r="G33" s="216"/>
      <c r="H33" s="56"/>
    </row>
    <row r="34" spans="2:8" ht="20.100000000000001" customHeight="1" x14ac:dyDescent="0.3">
      <c r="C34" s="2"/>
      <c r="D34" s="2"/>
    </row>
  </sheetData>
  <mergeCells count="9">
    <mergeCell ref="L1:M1"/>
    <mergeCell ref="Q1:R1"/>
    <mergeCell ref="S1:T1"/>
    <mergeCell ref="A12:B12"/>
    <mergeCell ref="E22:F22"/>
    <mergeCell ref="G22:H22"/>
    <mergeCell ref="A1:B2"/>
    <mergeCell ref="C1:F1"/>
    <mergeCell ref="G1:H1"/>
  </mergeCells>
  <pageMargins left="0.511811024" right="0.511811024" top="0.78740157499999996" bottom="0.78740157499999996" header="0.31496062000000002" footer="0.31496062000000002"/>
  <pageSetup paperSize="9" scale="93" orientation="landscape" r:id="rId1"/>
  <rowBreaks count="1" manualBreakCount="1">
    <brk id="21" max="19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343DD-B143-4324-ACD6-8644215647A0}">
  <sheetPr>
    <tabColor rgb="FFFF0000"/>
  </sheetPr>
  <dimension ref="A1:U34"/>
  <sheetViews>
    <sheetView zoomScale="85" zoomScaleNormal="85" workbookViewId="0">
      <selection activeCell="R12" sqref="A7:R12"/>
    </sheetView>
  </sheetViews>
  <sheetFormatPr defaultRowHeight="20.100000000000001" customHeight="1" x14ac:dyDescent="0.3"/>
  <cols>
    <col min="1" max="1" width="4.6640625" style="1" customWidth="1"/>
    <col min="2" max="2" width="18.5546875" bestFit="1" customWidth="1"/>
    <col min="3" max="3" width="10.5546875" bestFit="1" customWidth="1"/>
    <col min="4" max="4" width="12.88671875" customWidth="1"/>
    <col min="6" max="6" width="9.5546875" bestFit="1" customWidth="1"/>
    <col min="8" max="8" width="10.33203125" bestFit="1" customWidth="1"/>
    <col min="9" max="11" width="9" hidden="1" customWidth="1"/>
    <col min="12" max="12" width="12.44140625" customWidth="1"/>
    <col min="13" max="13" width="9.33203125" customWidth="1"/>
    <col min="14" max="15" width="9.109375" hidden="1" customWidth="1"/>
    <col min="16" max="16" width="12.33203125" hidden="1" customWidth="1"/>
    <col min="18" max="18" width="10.109375" bestFit="1" customWidth="1"/>
    <col min="19" max="19" width="15.88671875" bestFit="1" customWidth="1"/>
    <col min="21" max="21" width="18.5546875" bestFit="1" customWidth="1"/>
    <col min="22" max="22" width="15.88671875" bestFit="1" customWidth="1"/>
    <col min="24" max="24" width="10.109375" bestFit="1" customWidth="1"/>
  </cols>
  <sheetData>
    <row r="1" spans="1:21" ht="20.100000000000001" customHeight="1" thickBot="1" x14ac:dyDescent="0.35">
      <c r="A1" s="232" t="s">
        <v>0</v>
      </c>
      <c r="B1" s="233"/>
      <c r="C1" s="225" t="s">
        <v>1</v>
      </c>
      <c r="D1" s="236"/>
      <c r="E1" s="236"/>
      <c r="F1" s="226"/>
      <c r="G1" s="225" t="s">
        <v>5</v>
      </c>
      <c r="H1" s="226"/>
      <c r="I1" s="68"/>
      <c r="J1" s="69"/>
      <c r="K1" s="70"/>
      <c r="L1" s="225" t="s">
        <v>11</v>
      </c>
      <c r="M1" s="226"/>
      <c r="N1" s="122"/>
      <c r="O1" s="122"/>
      <c r="P1" s="122"/>
      <c r="Q1" s="225" t="s">
        <v>10</v>
      </c>
      <c r="R1" s="226"/>
      <c r="S1" s="225" t="s">
        <v>9</v>
      </c>
      <c r="T1" s="244"/>
    </row>
    <row r="2" spans="1:21" ht="20.100000000000001" customHeight="1" thickBot="1" x14ac:dyDescent="0.35">
      <c r="A2" s="234"/>
      <c r="B2" s="235"/>
      <c r="C2" s="140" t="s">
        <v>2</v>
      </c>
      <c r="D2" s="140" t="s">
        <v>3</v>
      </c>
      <c r="E2" s="140" t="s">
        <v>4</v>
      </c>
      <c r="F2" s="140" t="s">
        <v>3</v>
      </c>
      <c r="G2" s="140" t="s">
        <v>4</v>
      </c>
      <c r="H2" s="140" t="s">
        <v>3</v>
      </c>
      <c r="I2" s="141" t="s">
        <v>6</v>
      </c>
      <c r="J2" s="142" t="s">
        <v>7</v>
      </c>
      <c r="K2" s="143" t="s">
        <v>8</v>
      </c>
      <c r="L2" s="140" t="s">
        <v>4</v>
      </c>
      <c r="M2" s="144" t="s">
        <v>3</v>
      </c>
      <c r="N2" s="145" t="s">
        <v>6</v>
      </c>
      <c r="O2" s="146" t="s">
        <v>7</v>
      </c>
      <c r="P2" s="147" t="s">
        <v>8</v>
      </c>
      <c r="Q2" s="218" t="s">
        <v>4</v>
      </c>
      <c r="R2" s="140" t="s">
        <v>3</v>
      </c>
      <c r="S2" s="221" t="s">
        <v>4</v>
      </c>
      <c r="T2" s="220" t="s">
        <v>3</v>
      </c>
      <c r="U2" s="219" t="s">
        <v>41</v>
      </c>
    </row>
    <row r="3" spans="1:21" ht="20.100000000000001" customHeight="1" thickBot="1" x14ac:dyDescent="0.35">
      <c r="A3" s="10">
        <v>1</v>
      </c>
      <c r="B3" s="151" t="s">
        <v>26</v>
      </c>
      <c r="C3" s="157">
        <v>20</v>
      </c>
      <c r="D3" s="34">
        <f t="shared" ref="D3:D9" si="0">C3/C$10</f>
        <v>7.7821011673151752E-2</v>
      </c>
      <c r="E3" s="160"/>
      <c r="F3" s="116" t="e">
        <f>E3/E$10</f>
        <v>#DIV/0!</v>
      </c>
      <c r="G3" s="44">
        <f>((I3*20)+(J3*5)+(K3*5))</f>
        <v>1760</v>
      </c>
      <c r="H3" s="188">
        <f t="shared" ref="H3:H9" si="1">G3/G$10</f>
        <v>7.4225065017220773E-2</v>
      </c>
      <c r="I3" s="189">
        <v>64</v>
      </c>
      <c r="J3" s="190">
        <v>60</v>
      </c>
      <c r="K3" s="191">
        <v>36</v>
      </c>
      <c r="L3" s="50">
        <f>((N3*19)+(O3*5)+(P3*5))</f>
        <v>59689.925000000003</v>
      </c>
      <c r="M3" s="188">
        <f t="shared" ref="M3:M9" si="2">L3/L$10</f>
        <v>6.189126195534423E-2</v>
      </c>
      <c r="N3" s="192">
        <v>2253.2000000000003</v>
      </c>
      <c r="O3" s="193">
        <v>2093.5</v>
      </c>
      <c r="P3" s="194">
        <v>1282.325</v>
      </c>
      <c r="Q3" s="44"/>
      <c r="R3" s="116" t="e">
        <f>Q3/Q$10</f>
        <v>#DIV/0!</v>
      </c>
      <c r="S3" s="117"/>
      <c r="T3" s="222" t="e">
        <f t="shared" ref="T3:T9" si="3">S3/S$10</f>
        <v>#DIV/0!</v>
      </c>
    </row>
    <row r="4" spans="1:21" ht="20.100000000000001" customHeight="1" thickBot="1" x14ac:dyDescent="0.35">
      <c r="A4" s="14">
        <v>2</v>
      </c>
      <c r="B4" s="152" t="s">
        <v>27</v>
      </c>
      <c r="C4" s="158">
        <v>39</v>
      </c>
      <c r="D4" s="36">
        <f t="shared" si="0"/>
        <v>0.1517509727626459</v>
      </c>
      <c r="E4" s="161"/>
      <c r="F4" s="118" t="e">
        <f t="shared" ref="F4:F9" si="4">E4/E$10</f>
        <v>#DIV/0!</v>
      </c>
      <c r="G4" s="44">
        <f t="shared" ref="G4:G8" si="5">((I4*20)+(J4*5)+(K4*5))</f>
        <v>3698.333333333333</v>
      </c>
      <c r="H4" s="195">
        <f t="shared" si="1"/>
        <v>0.15597104097842129</v>
      </c>
      <c r="I4" s="196">
        <v>143.66666666666666</v>
      </c>
      <c r="J4" s="197">
        <v>121.5</v>
      </c>
      <c r="K4" s="198">
        <v>43.5</v>
      </c>
      <c r="L4" s="50">
        <f t="shared" ref="L4:L9" si="6">((N4*19)+(O4*5)+(P4*5))</f>
        <v>136665.26666666666</v>
      </c>
      <c r="M4" s="195">
        <f t="shared" si="2"/>
        <v>0.14170541878656473</v>
      </c>
      <c r="N4" s="199">
        <v>5599.5666666666666</v>
      </c>
      <c r="O4" s="200">
        <v>4465.8</v>
      </c>
      <c r="P4" s="201">
        <v>1588.9</v>
      </c>
      <c r="Q4" s="45"/>
      <c r="R4" s="118" t="e">
        <f t="shared" ref="R4:R9" si="7">Q4/Q$10</f>
        <v>#DIV/0!</v>
      </c>
      <c r="S4" s="119"/>
      <c r="T4" s="195" t="e">
        <f t="shared" si="3"/>
        <v>#DIV/0!</v>
      </c>
    </row>
    <row r="5" spans="1:21" ht="20.100000000000001" customHeight="1" thickBot="1" x14ac:dyDescent="0.35">
      <c r="A5" s="14">
        <v>3</v>
      </c>
      <c r="B5" s="152" t="s">
        <v>28</v>
      </c>
      <c r="C5" s="158">
        <v>99</v>
      </c>
      <c r="D5" s="36">
        <f>C5/C$10</f>
        <v>0.38521400778210119</v>
      </c>
      <c r="E5" s="161"/>
      <c r="F5" s="118" t="e">
        <f>E5/E$10</f>
        <v>#DIV/0!</v>
      </c>
      <c r="G5" s="44">
        <f t="shared" si="5"/>
        <v>9830.8333333333339</v>
      </c>
      <c r="H5" s="195">
        <f>G5/G$10</f>
        <v>0.41459900189779997</v>
      </c>
      <c r="I5" s="196">
        <v>361.66666666666669</v>
      </c>
      <c r="J5" s="197">
        <v>338.5</v>
      </c>
      <c r="K5" s="198">
        <v>181</v>
      </c>
      <c r="L5" s="50">
        <f t="shared" si="6"/>
        <v>450929</v>
      </c>
      <c r="M5" s="195">
        <f>L5/L$10</f>
        <v>0.46755905393182212</v>
      </c>
      <c r="N5" s="199">
        <v>17453</v>
      </c>
      <c r="O5" s="200">
        <v>15541.75</v>
      </c>
      <c r="P5" s="201">
        <v>8322.6500000000015</v>
      </c>
      <c r="Q5" s="45"/>
      <c r="R5" s="118" t="e">
        <f>Q6/Q$10</f>
        <v>#DIV/0!</v>
      </c>
      <c r="S5" s="119"/>
      <c r="T5" s="195" t="e">
        <f>S5/S$10</f>
        <v>#DIV/0!</v>
      </c>
    </row>
    <row r="6" spans="1:21" ht="20.100000000000001" customHeight="1" thickBot="1" x14ac:dyDescent="0.35">
      <c r="A6" s="14">
        <v>4</v>
      </c>
      <c r="B6" s="152" t="s">
        <v>29</v>
      </c>
      <c r="C6" s="158">
        <v>21</v>
      </c>
      <c r="D6" s="36">
        <f>C6/C$10</f>
        <v>8.171206225680934E-2</v>
      </c>
      <c r="E6" s="161"/>
      <c r="F6" s="118" t="e">
        <f>E6/E$10</f>
        <v>#DIV/0!</v>
      </c>
      <c r="G6" s="44">
        <f>((I6*20)+(J6*5)+(K6*5))</f>
        <v>2238.3333333333335</v>
      </c>
      <c r="H6" s="195">
        <f>G6/G$10</f>
        <v>9.4397975680044988E-2</v>
      </c>
      <c r="I6" s="196">
        <v>82.666666666666671</v>
      </c>
      <c r="J6" s="197">
        <v>67.5</v>
      </c>
      <c r="K6" s="198">
        <v>49.5</v>
      </c>
      <c r="L6" s="50">
        <f t="shared" si="6"/>
        <v>74386.866666666669</v>
      </c>
      <c r="M6" s="195">
        <f>L6/L$10</f>
        <v>7.713022006484227E-2</v>
      </c>
      <c r="N6" s="199">
        <v>2860.7166666666672</v>
      </c>
      <c r="O6" s="200">
        <v>2285.0500000000002</v>
      </c>
      <c r="P6" s="201">
        <v>1721.6</v>
      </c>
      <c r="Q6" s="45"/>
      <c r="R6" s="118" t="e">
        <f>Q7/Q$10</f>
        <v>#DIV/0!</v>
      </c>
      <c r="S6" s="119"/>
      <c r="T6" s="195" t="e">
        <f>S6/S$10</f>
        <v>#DIV/0!</v>
      </c>
    </row>
    <row r="7" spans="1:21" ht="20.100000000000001" customHeight="1" thickBot="1" x14ac:dyDescent="0.35">
      <c r="A7" s="14">
        <v>5</v>
      </c>
      <c r="B7" s="152" t="s">
        <v>30</v>
      </c>
      <c r="C7" s="158">
        <v>20</v>
      </c>
      <c r="D7" s="36">
        <f>C7/C$10</f>
        <v>7.7821011673151752E-2</v>
      </c>
      <c r="E7" s="161"/>
      <c r="F7" s="118" t="e">
        <f>E7/E$10</f>
        <v>#DIV/0!</v>
      </c>
      <c r="G7" s="44">
        <f t="shared" si="5"/>
        <v>1848.3333333333335</v>
      </c>
      <c r="H7" s="195">
        <f>G7/G$10</f>
        <v>7.7950376045547207E-2</v>
      </c>
      <c r="I7" s="196">
        <v>72.666666666666671</v>
      </c>
      <c r="J7" s="197">
        <v>57.5</v>
      </c>
      <c r="K7" s="198">
        <v>21.5</v>
      </c>
      <c r="L7" s="50">
        <f>((N7*19)+(O7*5)+(P7*5))</f>
        <v>97350.883333333331</v>
      </c>
      <c r="M7" s="195">
        <f>L7/L$10</f>
        <v>0.1009411390945371</v>
      </c>
      <c r="N7" s="199">
        <v>4027.0333333333328</v>
      </c>
      <c r="O7" s="200">
        <v>3227.5</v>
      </c>
      <c r="P7" s="201">
        <v>939.95</v>
      </c>
      <c r="Q7" s="45"/>
      <c r="R7" s="118" t="e">
        <f>Q5/Q$10</f>
        <v>#DIV/0!</v>
      </c>
      <c r="S7" s="119"/>
      <c r="T7" s="195" t="e">
        <f>S7/S$10</f>
        <v>#DIV/0!</v>
      </c>
    </row>
    <row r="8" spans="1:21" ht="20.100000000000001" customHeight="1" thickBot="1" x14ac:dyDescent="0.35">
      <c r="A8" s="14">
        <v>6</v>
      </c>
      <c r="B8" s="152" t="s">
        <v>31</v>
      </c>
      <c r="C8" s="158">
        <v>55</v>
      </c>
      <c r="D8" s="36">
        <f t="shared" si="0"/>
        <v>0.2140077821011673</v>
      </c>
      <c r="E8" s="161"/>
      <c r="F8" s="118" t="e">
        <f t="shared" si="4"/>
        <v>#DIV/0!</v>
      </c>
      <c r="G8" s="44">
        <f t="shared" si="5"/>
        <v>4294.166666666667</v>
      </c>
      <c r="H8" s="195">
        <f t="shared" si="1"/>
        <v>0.18109931819779293</v>
      </c>
      <c r="I8" s="196">
        <v>154.33333333333334</v>
      </c>
      <c r="J8" s="197">
        <v>149</v>
      </c>
      <c r="K8" s="198">
        <v>92.5</v>
      </c>
      <c r="L8" s="50">
        <f t="shared" si="6"/>
        <v>141454.35</v>
      </c>
      <c r="M8" s="195">
        <f t="shared" si="2"/>
        <v>0.1466711213085449</v>
      </c>
      <c r="N8" s="199">
        <v>5287.4000000000005</v>
      </c>
      <c r="O8" s="200">
        <v>5103.5</v>
      </c>
      <c r="P8" s="201">
        <v>3095.25</v>
      </c>
      <c r="Q8" s="45"/>
      <c r="R8" s="118" t="e">
        <f t="shared" si="7"/>
        <v>#DIV/0!</v>
      </c>
      <c r="S8" s="119"/>
      <c r="T8" s="195" t="e">
        <f t="shared" si="3"/>
        <v>#DIV/0!</v>
      </c>
    </row>
    <row r="9" spans="1:21" ht="20.100000000000001" customHeight="1" thickBot="1" x14ac:dyDescent="0.35">
      <c r="A9" s="15">
        <v>7</v>
      </c>
      <c r="B9" s="153" t="s">
        <v>32</v>
      </c>
      <c r="C9" s="159">
        <v>3</v>
      </c>
      <c r="D9" s="38">
        <f t="shared" si="0"/>
        <v>1.1673151750972763E-2</v>
      </c>
      <c r="E9" s="162"/>
      <c r="F9" s="120" t="e">
        <f t="shared" si="4"/>
        <v>#DIV/0!</v>
      </c>
      <c r="G9" s="44">
        <f>((I9*20)+(J9*5)+(K9*5))</f>
        <v>41.666666666666664</v>
      </c>
      <c r="H9" s="202">
        <f t="shared" si="1"/>
        <v>1.7572221831728401E-3</v>
      </c>
      <c r="I9" s="203">
        <v>1.3333333333333333</v>
      </c>
      <c r="J9" s="204">
        <v>2</v>
      </c>
      <c r="K9" s="205">
        <v>1</v>
      </c>
      <c r="L9" s="50">
        <f t="shared" si="6"/>
        <v>3955.8933333333339</v>
      </c>
      <c r="M9" s="202">
        <f t="shared" si="2"/>
        <v>4.1017848583447414E-3</v>
      </c>
      <c r="N9" s="206">
        <v>130.77333333333334</v>
      </c>
      <c r="O9" s="207">
        <v>196.16</v>
      </c>
      <c r="P9" s="208">
        <v>98.08</v>
      </c>
      <c r="Q9" s="46"/>
      <c r="R9" s="120" t="e">
        <f t="shared" si="7"/>
        <v>#DIV/0!</v>
      </c>
      <c r="S9" s="121"/>
      <c r="T9" s="202" t="e">
        <f t="shared" si="3"/>
        <v>#DIV/0!</v>
      </c>
    </row>
    <row r="10" spans="1:21" ht="20.100000000000001" customHeight="1" thickBot="1" x14ac:dyDescent="0.35">
      <c r="C10" s="25">
        <f>SUM(C3:C9)</f>
        <v>257</v>
      </c>
      <c r="E10" s="26"/>
      <c r="G10" s="27">
        <f>SUM(G3:G9)</f>
        <v>23711.666666666668</v>
      </c>
      <c r="I10">
        <v>880.33333333333337</v>
      </c>
      <c r="J10">
        <v>796</v>
      </c>
      <c r="K10">
        <v>425</v>
      </c>
      <c r="L10" s="28">
        <f>SUM(L3:L9)</f>
        <v>964432.18499999994</v>
      </c>
      <c r="N10" s="28">
        <v>37611.689999999995</v>
      </c>
      <c r="O10">
        <v>32913.26</v>
      </c>
      <c r="P10">
        <v>17048.755000000005</v>
      </c>
      <c r="Q10" s="27"/>
      <c r="S10" s="6"/>
    </row>
    <row r="11" spans="1:21" ht="20.100000000000001" customHeight="1" thickBot="1" x14ac:dyDescent="0.35"/>
    <row r="12" spans="1:21" ht="20.100000000000001" customHeight="1" thickBot="1" x14ac:dyDescent="0.35">
      <c r="A12" s="227" t="s">
        <v>0</v>
      </c>
      <c r="B12" s="228"/>
      <c r="C12" s="138" t="s">
        <v>12</v>
      </c>
      <c r="D12" s="136" t="s">
        <v>13</v>
      </c>
      <c r="E12" s="136" t="s">
        <v>14</v>
      </c>
      <c r="F12" s="139" t="s">
        <v>15</v>
      </c>
      <c r="G12" s="136" t="s">
        <v>25</v>
      </c>
      <c r="L12" s="95"/>
      <c r="M12" s="62"/>
    </row>
    <row r="13" spans="1:21" ht="20.100000000000001" customHeight="1" x14ac:dyDescent="0.3">
      <c r="A13" s="126">
        <v>1</v>
      </c>
      <c r="B13" s="154" t="s">
        <v>26</v>
      </c>
      <c r="C13" s="50">
        <f>Q3/L3</f>
        <v>0</v>
      </c>
      <c r="D13" s="209">
        <f>(S3/4.5)/L3</f>
        <v>0</v>
      </c>
      <c r="E13" s="11">
        <f>S3/L3</f>
        <v>0</v>
      </c>
      <c r="F13" s="210" t="e">
        <f>S3/Q3</f>
        <v>#DIV/0!</v>
      </c>
      <c r="G13" s="19" t="e">
        <f>L3/E3</f>
        <v>#DIV/0!</v>
      </c>
      <c r="L13" s="2"/>
      <c r="S13" s="215"/>
    </row>
    <row r="14" spans="1:21" ht="20.100000000000001" customHeight="1" x14ac:dyDescent="0.3">
      <c r="A14" s="127">
        <v>2</v>
      </c>
      <c r="B14" s="155" t="s">
        <v>27</v>
      </c>
      <c r="C14" s="51">
        <f t="shared" ref="C14:C20" si="8">Q4/L4</f>
        <v>0</v>
      </c>
      <c r="D14" s="211">
        <f t="shared" ref="D14:D19" si="9">(S4/4.5)/L4</f>
        <v>0</v>
      </c>
      <c r="E14" s="3">
        <f t="shared" ref="E14:E20" si="10">S4/L4</f>
        <v>0</v>
      </c>
      <c r="F14" s="212" t="e">
        <f t="shared" ref="F14:F20" si="11">S4/Q4</f>
        <v>#DIV/0!</v>
      </c>
      <c r="G14" s="20" t="e">
        <f t="shared" ref="G14:G19" si="12">L4/E4</f>
        <v>#DIV/0!</v>
      </c>
    </row>
    <row r="15" spans="1:21" ht="20.100000000000001" customHeight="1" x14ac:dyDescent="0.3">
      <c r="A15" s="127">
        <v>3</v>
      </c>
      <c r="B15" s="155" t="s">
        <v>28</v>
      </c>
      <c r="C15" s="51">
        <f t="shared" si="8"/>
        <v>0</v>
      </c>
      <c r="D15" s="211">
        <f t="shared" si="9"/>
        <v>0</v>
      </c>
      <c r="E15" s="3">
        <f t="shared" si="10"/>
        <v>0</v>
      </c>
      <c r="F15" s="212" t="e">
        <f t="shared" si="11"/>
        <v>#DIV/0!</v>
      </c>
      <c r="G15" s="20" t="e">
        <f t="shared" si="12"/>
        <v>#DIV/0!</v>
      </c>
    </row>
    <row r="16" spans="1:21" ht="20.100000000000001" customHeight="1" x14ac:dyDescent="0.3">
      <c r="A16" s="127">
        <v>4</v>
      </c>
      <c r="B16" s="155" t="s">
        <v>29</v>
      </c>
      <c r="C16" s="51">
        <f t="shared" si="8"/>
        <v>0</v>
      </c>
      <c r="D16" s="211">
        <f t="shared" si="9"/>
        <v>0</v>
      </c>
      <c r="E16" s="3">
        <f t="shared" si="10"/>
        <v>0</v>
      </c>
      <c r="F16" s="212" t="e">
        <f t="shared" si="11"/>
        <v>#DIV/0!</v>
      </c>
      <c r="G16" s="20" t="e">
        <f t="shared" si="12"/>
        <v>#DIV/0!</v>
      </c>
    </row>
    <row r="17" spans="1:17" ht="20.100000000000001" customHeight="1" x14ac:dyDescent="0.3">
      <c r="A17" s="127">
        <v>5</v>
      </c>
      <c r="B17" s="155" t="s">
        <v>30</v>
      </c>
      <c r="C17" s="51">
        <f t="shared" si="8"/>
        <v>0</v>
      </c>
      <c r="D17" s="211">
        <f t="shared" si="9"/>
        <v>0</v>
      </c>
      <c r="E17" s="3">
        <f t="shared" si="10"/>
        <v>0</v>
      </c>
      <c r="F17" s="212" t="e">
        <f t="shared" si="11"/>
        <v>#DIV/0!</v>
      </c>
      <c r="G17" s="20" t="e">
        <f t="shared" si="12"/>
        <v>#DIV/0!</v>
      </c>
    </row>
    <row r="18" spans="1:17" ht="20.100000000000001" customHeight="1" x14ac:dyDescent="0.3">
      <c r="A18" s="127">
        <v>6</v>
      </c>
      <c r="B18" s="155" t="s">
        <v>31</v>
      </c>
      <c r="C18" s="51">
        <f t="shared" si="8"/>
        <v>0</v>
      </c>
      <c r="D18" s="211">
        <f t="shared" si="9"/>
        <v>0</v>
      </c>
      <c r="E18" s="3">
        <f t="shared" si="10"/>
        <v>0</v>
      </c>
      <c r="F18" s="212" t="e">
        <f t="shared" si="11"/>
        <v>#DIV/0!</v>
      </c>
      <c r="G18" s="20" t="e">
        <f t="shared" si="12"/>
        <v>#DIV/0!</v>
      </c>
    </row>
    <row r="19" spans="1:17" ht="20.100000000000001" customHeight="1" thickBot="1" x14ac:dyDescent="0.35">
      <c r="A19" s="128">
        <v>7</v>
      </c>
      <c r="B19" s="156" t="s">
        <v>32</v>
      </c>
      <c r="C19" s="52">
        <f t="shared" si="8"/>
        <v>0</v>
      </c>
      <c r="D19" s="213">
        <f t="shared" si="9"/>
        <v>0</v>
      </c>
      <c r="E19" s="16">
        <f t="shared" si="10"/>
        <v>0</v>
      </c>
      <c r="F19" s="214" t="e">
        <f t="shared" si="11"/>
        <v>#DIV/0!</v>
      </c>
      <c r="G19" s="21" t="e">
        <f t="shared" si="12"/>
        <v>#DIV/0!</v>
      </c>
    </row>
    <row r="20" spans="1:17" ht="20.100000000000001" customHeight="1" thickBot="1" x14ac:dyDescent="0.35">
      <c r="A20" s="114"/>
      <c r="B20" s="115"/>
      <c r="C20" s="5">
        <f t="shared" si="8"/>
        <v>0</v>
      </c>
      <c r="D20" s="5">
        <f>(S10/4.5)/L10</f>
        <v>0</v>
      </c>
      <c r="E20" s="6">
        <f t="shared" si="10"/>
        <v>0</v>
      </c>
      <c r="F20" s="7" t="e">
        <f t="shared" si="11"/>
        <v>#DIV/0!</v>
      </c>
      <c r="G20" s="28" t="e">
        <f>L10/E10</f>
        <v>#DIV/0!</v>
      </c>
    </row>
    <row r="21" spans="1:17" ht="20.100000000000001" customHeight="1" thickBot="1" x14ac:dyDescent="0.35"/>
    <row r="22" spans="1:17" ht="20.100000000000001" customHeight="1" thickBot="1" x14ac:dyDescent="0.35">
      <c r="B22" s="163" t="s">
        <v>37</v>
      </c>
      <c r="C22" s="66" t="s">
        <v>38</v>
      </c>
      <c r="D22" s="217" t="s">
        <v>40</v>
      </c>
      <c r="E22" s="229" t="s">
        <v>22</v>
      </c>
      <c r="F22" s="230"/>
      <c r="G22" s="229" t="s">
        <v>23</v>
      </c>
      <c r="H22" s="231"/>
    </row>
    <row r="23" spans="1:17" ht="20.100000000000001" customHeight="1" x14ac:dyDescent="0.3">
      <c r="B23" s="164" t="s">
        <v>16</v>
      </c>
      <c r="C23" s="80"/>
      <c r="D23" s="80"/>
      <c r="E23" s="74" t="s">
        <v>34</v>
      </c>
      <c r="F23" s="90">
        <f>C23</f>
        <v>0</v>
      </c>
      <c r="G23" s="77" t="s">
        <v>34</v>
      </c>
      <c r="H23" s="87">
        <f>D23+D30</f>
        <v>0</v>
      </c>
      <c r="L23" s="94"/>
    </row>
    <row r="24" spans="1:17" ht="20.100000000000001" customHeight="1" x14ac:dyDescent="0.3">
      <c r="B24" s="165" t="s">
        <v>17</v>
      </c>
      <c r="C24" s="82"/>
      <c r="D24" s="82"/>
      <c r="E24" s="75" t="s">
        <v>33</v>
      </c>
      <c r="F24" s="91">
        <f>SUM(C24:C30)</f>
        <v>0</v>
      </c>
      <c r="G24" s="78" t="s">
        <v>33</v>
      </c>
      <c r="H24" s="88">
        <f>SUM(D24:D29)</f>
        <v>0</v>
      </c>
      <c r="L24" s="94"/>
    </row>
    <row r="25" spans="1:17" ht="20.100000000000001" customHeight="1" x14ac:dyDescent="0.3">
      <c r="B25" s="165" t="s">
        <v>18</v>
      </c>
      <c r="C25" s="82"/>
      <c r="D25" s="82"/>
      <c r="E25" s="75" t="s">
        <v>21</v>
      </c>
      <c r="F25" s="91">
        <f>C31</f>
        <v>0</v>
      </c>
      <c r="G25" s="78" t="s">
        <v>21</v>
      </c>
      <c r="H25" s="88">
        <f>D31</f>
        <v>0</v>
      </c>
      <c r="L25" s="94"/>
    </row>
    <row r="26" spans="1:17" ht="20.100000000000001" customHeight="1" thickBot="1" x14ac:dyDescent="0.35">
      <c r="B26" s="165" t="s">
        <v>35</v>
      </c>
      <c r="C26" s="82"/>
      <c r="D26" s="82"/>
      <c r="E26" s="76" t="s">
        <v>24</v>
      </c>
      <c r="F26" s="92">
        <f>C32</f>
        <v>0</v>
      </c>
      <c r="G26" s="79" t="s">
        <v>24</v>
      </c>
      <c r="H26" s="89">
        <f>D32</f>
        <v>0</v>
      </c>
      <c r="L26" s="94"/>
      <c r="Q26" s="2"/>
    </row>
    <row r="27" spans="1:17" ht="20.100000000000001" customHeight="1" thickBot="1" x14ac:dyDescent="0.35">
      <c r="B27" s="165" t="s">
        <v>36</v>
      </c>
      <c r="C27" s="82"/>
      <c r="D27" s="82"/>
      <c r="E27" s="71" t="s">
        <v>2</v>
      </c>
      <c r="F27" s="93">
        <f>SUM(F23:F26)</f>
        <v>0</v>
      </c>
      <c r="G27" s="73" t="s">
        <v>2</v>
      </c>
      <c r="H27" s="72">
        <f>SUM(H23:H26)</f>
        <v>0</v>
      </c>
    </row>
    <row r="28" spans="1:17" ht="20.100000000000001" customHeight="1" x14ac:dyDescent="0.3">
      <c r="B28" s="165" t="s">
        <v>19</v>
      </c>
      <c r="C28" s="82"/>
      <c r="D28" s="82"/>
      <c r="E28" s="56"/>
      <c r="F28" s="56"/>
      <c r="G28" s="56"/>
      <c r="H28" s="56"/>
    </row>
    <row r="29" spans="1:17" ht="20.100000000000001" customHeight="1" x14ac:dyDescent="0.3">
      <c r="B29" s="165" t="s">
        <v>20</v>
      </c>
      <c r="C29" s="82"/>
      <c r="D29" s="82"/>
      <c r="E29" s="56"/>
      <c r="F29" s="56"/>
      <c r="G29" s="56"/>
      <c r="H29" s="56"/>
    </row>
    <row r="30" spans="1:17" ht="20.100000000000001" customHeight="1" x14ac:dyDescent="0.3">
      <c r="B30" s="165" t="s">
        <v>39</v>
      </c>
      <c r="C30" s="82"/>
      <c r="D30" s="82"/>
      <c r="E30" s="56"/>
      <c r="F30" s="56"/>
      <c r="G30" s="56"/>
      <c r="H30" s="56"/>
    </row>
    <row r="31" spans="1:17" ht="20.100000000000001" customHeight="1" x14ac:dyDescent="0.3">
      <c r="B31" s="165" t="s">
        <v>21</v>
      </c>
      <c r="C31" s="82"/>
      <c r="D31" s="82"/>
      <c r="E31" s="56"/>
      <c r="F31" s="56"/>
      <c r="G31" s="56"/>
      <c r="H31" s="56"/>
    </row>
    <row r="32" spans="1:17" ht="20.100000000000001" customHeight="1" x14ac:dyDescent="0.3">
      <c r="B32" s="165" t="s">
        <v>24</v>
      </c>
      <c r="C32" s="166"/>
      <c r="D32" s="82"/>
      <c r="E32" s="56"/>
      <c r="F32" s="56"/>
      <c r="G32" s="56"/>
      <c r="H32" s="56"/>
    </row>
    <row r="33" spans="2:8" ht="20.100000000000001" customHeight="1" thickBot="1" x14ac:dyDescent="0.35">
      <c r="B33" s="57" t="s">
        <v>2</v>
      </c>
      <c r="C33" s="86">
        <f>SUM(C23:C32)</f>
        <v>0</v>
      </c>
      <c r="D33" s="86">
        <f>SUM(D23:D32)</f>
        <v>0</v>
      </c>
      <c r="E33" s="58" t="e">
        <f>C33/D33</f>
        <v>#DIV/0!</v>
      </c>
      <c r="F33" s="56"/>
      <c r="G33" s="216"/>
      <c r="H33" s="56"/>
    </row>
    <row r="34" spans="2:8" ht="20.100000000000001" customHeight="1" x14ac:dyDescent="0.3">
      <c r="C34" s="2"/>
      <c r="D34" s="2"/>
    </row>
  </sheetData>
  <mergeCells count="9">
    <mergeCell ref="L1:M1"/>
    <mergeCell ref="Q1:R1"/>
    <mergeCell ref="S1:T1"/>
    <mergeCell ref="A12:B12"/>
    <mergeCell ref="E22:F22"/>
    <mergeCell ref="G22:H22"/>
    <mergeCell ref="A1:B2"/>
    <mergeCell ref="C1:F1"/>
    <mergeCell ref="G1:H1"/>
  </mergeCells>
  <pageMargins left="0.511811024" right="0.511811024" top="0.78740157499999996" bottom="0.78740157499999996" header="0.31496062000000002" footer="0.31496062000000002"/>
  <pageSetup paperSize="9" scale="93" orientation="landscape" r:id="rId1"/>
  <rowBreaks count="1" manualBreakCount="1">
    <brk id="21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11</vt:i4>
      </vt:variant>
    </vt:vector>
  </HeadingPairs>
  <TitlesOfParts>
    <vt:vector size="22" baseType="lpstr">
      <vt:lpstr>JANEIRO 2024</vt:lpstr>
      <vt:lpstr>FEVEREIRO 2024</vt:lpstr>
      <vt:lpstr>MARÇO 2024</vt:lpstr>
      <vt:lpstr>ABRIL 2024</vt:lpstr>
      <vt:lpstr>MAIO 2024</vt:lpstr>
      <vt:lpstr>JUNHO 2024</vt:lpstr>
      <vt:lpstr>JULHO 2024</vt:lpstr>
      <vt:lpstr>AGOSTO 2024</vt:lpstr>
      <vt:lpstr>SETEMBRO 2024</vt:lpstr>
      <vt:lpstr>OUTUBRO 2024 </vt:lpstr>
      <vt:lpstr>NOVEMBRO 2024</vt:lpstr>
      <vt:lpstr>'ABRIL 2024'!Area_de_impressao</vt:lpstr>
      <vt:lpstr>'AGOSTO 2024'!Area_de_impressao</vt:lpstr>
      <vt:lpstr>'FEVEREIRO 2024'!Area_de_impressao</vt:lpstr>
      <vt:lpstr>'JANEIRO 2024'!Area_de_impressao</vt:lpstr>
      <vt:lpstr>'JULHO 2024'!Area_de_impressao</vt:lpstr>
      <vt:lpstr>'JUNHO 2024'!Area_de_impressao</vt:lpstr>
      <vt:lpstr>'MAIO 2024'!Area_de_impressao</vt:lpstr>
      <vt:lpstr>'MARÇO 2024'!Area_de_impressao</vt:lpstr>
      <vt:lpstr>'NOVEMBRO 2024'!Area_de_impressao</vt:lpstr>
      <vt:lpstr>'OUTUBRO 2024 '!Area_de_impressao</vt:lpstr>
      <vt:lpstr>'SETEMBRO 2024'!Area_de_impressao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Tárcio Marques</dc:creator>
  <cp:lastModifiedBy>Jefferson andreza</cp:lastModifiedBy>
  <cp:lastPrinted>2023-06-13T13:51:45Z</cp:lastPrinted>
  <dcterms:created xsi:type="dcterms:W3CDTF">2023-03-02T18:35:59Z</dcterms:created>
  <dcterms:modified xsi:type="dcterms:W3CDTF">2026-02-12T17:58:54Z</dcterms:modified>
</cp:coreProperties>
</file>