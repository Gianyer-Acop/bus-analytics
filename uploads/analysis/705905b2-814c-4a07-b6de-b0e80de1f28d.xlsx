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4FE70C3-DA0A-48AC-8646-B0629C7089CE}" xr6:coauthVersionLast="47" xr6:coauthVersionMax="47" xr10:uidLastSave="{00000000-0000-0000-0000-000000000000}"/>
  <bookViews>
    <workbookView xWindow="-120" yWindow="-120" windowWidth="29040" windowHeight="15840" tabRatio="585" xr2:uid="{00000000-000D-0000-FFFF-FFFF00000000}"/>
  </bookViews>
  <sheets>
    <sheet name="LINHA 093 DOM" sheetId="33" r:id="rId1"/>
    <sheet name="LINHA 094 DOM" sheetId="34" r:id="rId2"/>
    <sheet name="SÁB" sheetId="25" state="hidden" r:id="rId3"/>
    <sheet name="DOM" sheetId="13" state="hidden" r:id="rId4"/>
    <sheet name="DIGITAÇÃO" sheetId="27" state="hidden" r:id="rId5"/>
    <sheet name="DADOS CSV" sheetId="18" state="hidden" r:id="rId6"/>
    <sheet name="CSV IDA" sheetId="20" state="hidden" r:id="rId7"/>
    <sheet name="CSV VOLTA" sheetId="23" state="hidden" r:id="rId8"/>
    <sheet name="F U" sheetId="28" state="hidden" r:id="rId9"/>
    <sheet name="Procv" sheetId="29" state="hidden" r:id="rId10"/>
  </sheets>
  <definedNames>
    <definedName name="_xlnm._FilterDatabase" localSheetId="5" hidden="1">'DADOS CSV'!$A$2:$O$2</definedName>
    <definedName name="_xlnm._FilterDatabase" localSheetId="4" hidden="1">DIGITAÇÃO!$A$1:$G$46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2" i="34" l="1"/>
  <c r="X11" i="34"/>
  <c r="X6" i="34"/>
  <c r="AE7" i="33"/>
  <c r="AE6" i="33"/>
  <c r="X6" i="33"/>
  <c r="P4" i="34"/>
  <c r="Q8" i="34"/>
  <c r="Q9" i="34"/>
  <c r="Q10" i="34"/>
  <c r="Q11" i="34"/>
  <c r="Q12" i="34"/>
  <c r="Q13" i="34"/>
  <c r="S6" i="34"/>
  <c r="S7" i="34"/>
  <c r="S8" i="34"/>
  <c r="S9" i="34"/>
  <c r="S10" i="34"/>
  <c r="S11" i="34"/>
  <c r="S12" i="34"/>
  <c r="P4" i="33"/>
  <c r="Q8" i="33"/>
  <c r="Q9" i="33"/>
  <c r="Q10" i="33"/>
  <c r="Q11" i="33"/>
  <c r="Q12" i="33"/>
  <c r="Q13" i="33"/>
  <c r="Q14" i="33"/>
  <c r="Q15" i="33"/>
  <c r="Q16" i="33"/>
  <c r="S6" i="33"/>
  <c r="S7" i="33"/>
  <c r="S8" i="33"/>
  <c r="S9" i="33"/>
  <c r="S10" i="33"/>
  <c r="S11" i="33"/>
  <c r="S12" i="33"/>
  <c r="S13" i="33"/>
  <c r="S14" i="33"/>
  <c r="S15" i="33"/>
  <c r="M24" i="34"/>
  <c r="G24" i="34"/>
  <c r="M23" i="34"/>
  <c r="G23" i="34"/>
  <c r="L22" i="34"/>
  <c r="J22" i="34"/>
  <c r="N22" i="34" s="1"/>
  <c r="F22" i="34"/>
  <c r="D22" i="34"/>
  <c r="M21" i="34"/>
  <c r="G21" i="34"/>
  <c r="M20" i="34"/>
  <c r="G20" i="34"/>
  <c r="M19" i="34"/>
  <c r="G19" i="34"/>
  <c r="M18" i="34"/>
  <c r="G18" i="34"/>
  <c r="G12" i="34"/>
  <c r="G11" i="34"/>
  <c r="F10" i="34"/>
  <c r="D10" i="34"/>
  <c r="G9" i="34"/>
  <c r="G8" i="34"/>
  <c r="G7" i="34"/>
  <c r="G6" i="34"/>
  <c r="G24" i="33"/>
  <c r="F23" i="33"/>
  <c r="D23" i="33"/>
  <c r="G22" i="33"/>
  <c r="G21" i="33"/>
  <c r="G20" i="33"/>
  <c r="G19" i="33"/>
  <c r="G13" i="33"/>
  <c r="M12" i="33"/>
  <c r="G12" i="33"/>
  <c r="M11" i="33"/>
  <c r="G11" i="33"/>
  <c r="L10" i="33"/>
  <c r="J10" i="33"/>
  <c r="F10" i="33"/>
  <c r="D10" i="33"/>
  <c r="M9" i="33"/>
  <c r="G9" i="33"/>
  <c r="M8" i="33"/>
  <c r="G8" i="33"/>
  <c r="M7" i="33"/>
  <c r="G7" i="33"/>
  <c r="M6" i="33"/>
  <c r="G6" i="33"/>
  <c r="Q7" i="34"/>
  <c r="J36" i="27"/>
  <c r="L36" i="27" s="1"/>
  <c r="H36" i="27"/>
  <c r="D36" i="27"/>
  <c r="F36" i="27" s="1"/>
  <c r="B36" i="27"/>
  <c r="D27" i="27"/>
  <c r="F27" i="27" s="1"/>
  <c r="B27" i="27"/>
  <c r="F16" i="27"/>
  <c r="D16" i="27"/>
  <c r="B16" i="27"/>
  <c r="L6" i="27"/>
  <c r="J6" i="27"/>
  <c r="H6" i="27"/>
  <c r="D6" i="27"/>
  <c r="F6" i="27" s="1"/>
  <c r="B6" i="27"/>
  <c r="K38" i="27"/>
  <c r="K37" i="27"/>
  <c r="K35" i="27"/>
  <c r="K34" i="27"/>
  <c r="K33" i="27"/>
  <c r="K32" i="27"/>
  <c r="E38" i="27"/>
  <c r="E37" i="27"/>
  <c r="E35" i="27"/>
  <c r="E34" i="27"/>
  <c r="E33" i="27"/>
  <c r="E32" i="27"/>
  <c r="E17" i="27"/>
  <c r="E15" i="27"/>
  <c r="E14" i="27"/>
  <c r="E13" i="27"/>
  <c r="E12" i="27"/>
  <c r="E29" i="27"/>
  <c r="E28" i="27"/>
  <c r="E26" i="27"/>
  <c r="E25" i="27"/>
  <c r="E24" i="27"/>
  <c r="E23" i="27"/>
  <c r="K8" i="27"/>
  <c r="K7" i="27"/>
  <c r="K5" i="27"/>
  <c r="K4" i="27"/>
  <c r="K3" i="27"/>
  <c r="K2" i="27"/>
  <c r="E9" i="27"/>
  <c r="E8" i="27"/>
  <c r="E7" i="27"/>
  <c r="E5" i="27"/>
  <c r="E4" i="27"/>
  <c r="E3" i="27"/>
  <c r="E2" i="27"/>
  <c r="AL15" i="25"/>
  <c r="Q7" i="33"/>
  <c r="H22" i="34" l="1"/>
  <c r="D26" i="34" s="1"/>
  <c r="H26" i="34"/>
  <c r="N26" i="34"/>
  <c r="J26" i="34"/>
  <c r="H10" i="34"/>
  <c r="H23" i="33"/>
  <c r="D26" i="33" s="1"/>
  <c r="H10" i="33"/>
  <c r="D15" i="33" s="1"/>
  <c r="N10" i="33"/>
  <c r="N15" i="33" s="1"/>
  <c r="H26" i="33"/>
  <c r="H15" i="33"/>
  <c r="J3" i="18" a="1"/>
  <c r="J3" i="18" s="1"/>
  <c r="AL15" i="13"/>
  <c r="D28" i="13"/>
  <c r="ED28" i="13"/>
  <c r="DZ28" i="13"/>
  <c r="DX28" i="13"/>
  <c r="DT28" i="13"/>
  <c r="DR28" i="13"/>
  <c r="DN28" i="13"/>
  <c r="DL28" i="13"/>
  <c r="DH28" i="13"/>
  <c r="DF28" i="13"/>
  <c r="DB28" i="13"/>
  <c r="CZ28" i="13"/>
  <c r="CV28" i="13"/>
  <c r="CT28" i="13"/>
  <c r="CP28" i="13"/>
  <c r="CN28" i="13"/>
  <c r="CJ28" i="13"/>
  <c r="CH28" i="13"/>
  <c r="CD28" i="13"/>
  <c r="CB28" i="13"/>
  <c r="BX28" i="13"/>
  <c r="BV28" i="13"/>
  <c r="BR28" i="13"/>
  <c r="BP28" i="13"/>
  <c r="BL28" i="13"/>
  <c r="BJ28" i="13"/>
  <c r="BF28" i="13"/>
  <c r="BD28" i="13"/>
  <c r="AZ28" i="13"/>
  <c r="AX28" i="13"/>
  <c r="AT28" i="13"/>
  <c r="AR28" i="13"/>
  <c r="AN28" i="13"/>
  <c r="AL28" i="13"/>
  <c r="AH28" i="13"/>
  <c r="AF28" i="13"/>
  <c r="AB28" i="13"/>
  <c r="Z28" i="13"/>
  <c r="V28" i="13"/>
  <c r="T28" i="13"/>
  <c r="P28" i="13"/>
  <c r="N28" i="13"/>
  <c r="J28" i="13"/>
  <c r="H28" i="13"/>
  <c r="ED28" i="25"/>
  <c r="DZ28" i="25"/>
  <c r="DX28" i="25"/>
  <c r="DT28" i="25"/>
  <c r="DR28" i="25"/>
  <c r="DN28" i="25"/>
  <c r="DL28" i="25"/>
  <c r="DH28" i="25"/>
  <c r="DF28" i="25"/>
  <c r="DB28" i="25"/>
  <c r="CZ28" i="25"/>
  <c r="CV28" i="25"/>
  <c r="CT28" i="25"/>
  <c r="CP28" i="25"/>
  <c r="CN28" i="25"/>
  <c r="CJ28" i="25"/>
  <c r="CH28" i="25"/>
  <c r="CD28" i="25"/>
  <c r="CB28" i="25"/>
  <c r="BX28" i="25"/>
  <c r="BV28" i="25"/>
  <c r="BR28" i="25"/>
  <c r="BP28" i="25"/>
  <c r="BL28" i="25"/>
  <c r="BJ28" i="25"/>
  <c r="BF28" i="25"/>
  <c r="BD28" i="25"/>
  <c r="AZ28" i="25"/>
  <c r="AX28" i="25"/>
  <c r="AT28" i="25"/>
  <c r="AR28" i="25"/>
  <c r="AN28" i="25"/>
  <c r="AL28" i="25"/>
  <c r="AH28" i="25"/>
  <c r="AF28" i="25"/>
  <c r="AB28" i="25"/>
  <c r="Z28" i="25"/>
  <c r="V28" i="25"/>
  <c r="T28" i="25"/>
  <c r="P28" i="25"/>
  <c r="N28" i="25"/>
  <c r="J28" i="25"/>
  <c r="H28" i="25"/>
  <c r="D28" i="25"/>
  <c r="ED15" i="13"/>
  <c r="DZ15" i="13"/>
  <c r="DX15" i="13"/>
  <c r="DT15" i="13"/>
  <c r="DR15" i="13"/>
  <c r="DN15" i="13"/>
  <c r="DL15" i="13"/>
  <c r="DH15" i="13"/>
  <c r="DF15" i="13"/>
  <c r="DB15" i="13"/>
  <c r="CZ15" i="13"/>
  <c r="CV15" i="13"/>
  <c r="CT15" i="13"/>
  <c r="CP15" i="13"/>
  <c r="CN15" i="13"/>
  <c r="CJ15" i="13"/>
  <c r="CH15" i="13"/>
  <c r="CD15" i="13"/>
  <c r="CB15" i="13"/>
  <c r="BX15" i="13"/>
  <c r="BV15" i="13"/>
  <c r="BR15" i="13"/>
  <c r="BP15" i="13"/>
  <c r="BL15" i="13"/>
  <c r="BJ15" i="13"/>
  <c r="BF15" i="13"/>
  <c r="BD15" i="13"/>
  <c r="AZ15" i="13"/>
  <c r="AX15" i="13"/>
  <c r="AT15" i="13"/>
  <c r="AR15" i="13"/>
  <c r="AN15" i="13"/>
  <c r="AH15" i="13"/>
  <c r="AF15" i="13"/>
  <c r="AB15" i="13"/>
  <c r="Z15" i="13"/>
  <c r="V15" i="13"/>
  <c r="T15" i="13"/>
  <c r="P15" i="13"/>
  <c r="N15" i="13"/>
  <c r="J15" i="13"/>
  <c r="H15" i="13"/>
  <c r="D15" i="13"/>
  <c r="ED15" i="25"/>
  <c r="DZ15" i="25"/>
  <c r="DX15" i="25"/>
  <c r="DT15" i="25"/>
  <c r="DR15" i="25"/>
  <c r="DN15" i="25"/>
  <c r="DL15" i="25"/>
  <c r="DH15" i="25"/>
  <c r="DF15" i="25"/>
  <c r="DB15" i="25"/>
  <c r="CZ15" i="25"/>
  <c r="CV15" i="25"/>
  <c r="CT15" i="25"/>
  <c r="CP15" i="25"/>
  <c r="CN15" i="25"/>
  <c r="CJ15" i="25"/>
  <c r="CH15" i="25"/>
  <c r="CD15" i="25"/>
  <c r="CB15" i="25"/>
  <c r="BX15" i="25"/>
  <c r="BV15" i="25"/>
  <c r="BR15" i="25"/>
  <c r="BP15" i="25"/>
  <c r="BL15" i="25"/>
  <c r="BJ15" i="25"/>
  <c r="BF15" i="25"/>
  <c r="BD15" i="25"/>
  <c r="AZ15" i="25"/>
  <c r="AX15" i="25"/>
  <c r="AT15" i="25"/>
  <c r="AR15" i="25"/>
  <c r="AN15" i="25"/>
  <c r="AH15" i="25"/>
  <c r="AF15" i="25"/>
  <c r="AB15" i="25"/>
  <c r="Z15" i="25"/>
  <c r="V15" i="25"/>
  <c r="T15" i="25"/>
  <c r="P15" i="25"/>
  <c r="N15" i="25"/>
  <c r="J15" i="25"/>
  <c r="H15" i="25"/>
  <c r="D15" i="25"/>
  <c r="C47" i="28"/>
  <c r="C45" i="28"/>
  <c r="C43" i="28"/>
  <c r="C41" i="28"/>
  <c r="C39" i="28"/>
  <c r="C37" i="28"/>
  <c r="C35" i="28"/>
  <c r="C33" i="28"/>
  <c r="C31" i="28"/>
  <c r="C29" i="28"/>
  <c r="C27" i="28"/>
  <c r="C68" i="28"/>
  <c r="C64" i="28"/>
  <c r="C60" i="28"/>
  <c r="C56" i="28"/>
  <c r="C52" i="28"/>
  <c r="C44" i="28"/>
  <c r="C40" i="28"/>
  <c r="C36" i="28"/>
  <c r="C32" i="28"/>
  <c r="C28" i="28"/>
  <c r="E12" i="20"/>
  <c r="H14" i="34" l="1"/>
  <c r="D14" i="34"/>
  <c r="J15" i="33"/>
  <c r="C58" i="28"/>
  <c r="C66" i="28"/>
  <c r="C57" i="28"/>
  <c r="C65" i="28"/>
  <c r="C72" i="28"/>
  <c r="C54" i="28"/>
  <c r="C62" i="28"/>
  <c r="C70" i="28"/>
  <c r="C53" i="28"/>
  <c r="C61" i="28"/>
  <c r="C69" i="28"/>
  <c r="C51" i="28"/>
  <c r="C55" i="28"/>
  <c r="C59" i="28"/>
  <c r="C63" i="28"/>
  <c r="C67" i="28"/>
  <c r="C71" i="28"/>
  <c r="C34" i="28"/>
  <c r="C42" i="28"/>
  <c r="C48" i="28"/>
  <c r="C30" i="28"/>
  <c r="C38" i="28"/>
  <c r="C46" i="28"/>
  <c r="P24" i="29"/>
  <c r="P2" i="29"/>
  <c r="L4" i="29"/>
  <c r="M4" i="29"/>
  <c r="K4" i="29"/>
  <c r="J4" i="29"/>
  <c r="M5" i="29" l="1"/>
  <c r="K5" i="29"/>
  <c r="L5" i="29"/>
  <c r="J5" i="29"/>
  <c r="P25" i="29"/>
  <c r="P3" i="29"/>
  <c r="EF4" i="13"/>
  <c r="EF4" i="25"/>
  <c r="F31" i="25"/>
  <c r="D31" i="25"/>
  <c r="F31" i="13"/>
  <c r="D31" i="13"/>
  <c r="E72" i="28"/>
  <c r="E71" i="28"/>
  <c r="E70" i="28"/>
  <c r="E69" i="28"/>
  <c r="E68" i="28"/>
  <c r="E67" i="28"/>
  <c r="E66" i="28"/>
  <c r="E65" i="28"/>
  <c r="E64" i="28"/>
  <c r="E63" i="28"/>
  <c r="E62" i="28"/>
  <c r="E61" i="28"/>
  <c r="E60" i="28"/>
  <c r="E59" i="28"/>
  <c r="E58" i="28"/>
  <c r="E57" i="28"/>
  <c r="E56" i="28"/>
  <c r="E55" i="28"/>
  <c r="E54" i="28"/>
  <c r="E53" i="28"/>
  <c r="E52" i="28"/>
  <c r="E51" i="28"/>
  <c r="B72" i="28"/>
  <c r="B71" i="28"/>
  <c r="B70" i="28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A51" i="28" s="1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A27" i="28" s="1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E3" i="28"/>
  <c r="B24" i="28"/>
  <c r="B23" i="28"/>
  <c r="A23" i="28" s="1"/>
  <c r="B22" i="28"/>
  <c r="A22" i="28" s="1"/>
  <c r="B21" i="28"/>
  <c r="A21" i="28" s="1"/>
  <c r="B20" i="28"/>
  <c r="A20" i="28" s="1"/>
  <c r="B19" i="28"/>
  <c r="B18" i="28"/>
  <c r="A18" i="28" s="1"/>
  <c r="B17" i="28"/>
  <c r="A17" i="28" s="1"/>
  <c r="B16" i="28"/>
  <c r="A16" i="28" s="1"/>
  <c r="B15" i="28"/>
  <c r="B14" i="28"/>
  <c r="A14" i="28" s="1"/>
  <c r="B13" i="28"/>
  <c r="A13" i="28" s="1"/>
  <c r="B12" i="28"/>
  <c r="B11" i="28"/>
  <c r="A11" i="28" s="1"/>
  <c r="B10" i="28"/>
  <c r="A10" i="28" s="1"/>
  <c r="B9" i="28"/>
  <c r="B8" i="28"/>
  <c r="A8" i="28" s="1"/>
  <c r="B7" i="28"/>
  <c r="B6" i="28"/>
  <c r="B5" i="28"/>
  <c r="B4" i="28"/>
  <c r="B3" i="28"/>
  <c r="A3" i="28" s="1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48" i="28"/>
  <c r="D47" i="28"/>
  <c r="D46" i="28"/>
  <c r="D45" i="28"/>
  <c r="D44" i="28"/>
  <c r="D43" i="28"/>
  <c r="D42" i="28"/>
  <c r="D41" i="28"/>
  <c r="D40" i="28"/>
  <c r="D39" i="28"/>
  <c r="D38" i="28"/>
  <c r="D37" i="28"/>
  <c r="D36" i="28"/>
  <c r="D35" i="28"/>
  <c r="D34" i="28"/>
  <c r="D33" i="28"/>
  <c r="D32" i="28"/>
  <c r="D31" i="28"/>
  <c r="D30" i="28"/>
  <c r="D29" i="28"/>
  <c r="D28" i="28"/>
  <c r="D27" i="28"/>
  <c r="D24" i="28"/>
  <c r="C24" i="28"/>
  <c r="D23" i="28"/>
  <c r="C23" i="28"/>
  <c r="D22" i="28"/>
  <c r="C22" i="28"/>
  <c r="D21" i="28"/>
  <c r="C21" i="28"/>
  <c r="D20" i="28"/>
  <c r="C20" i="28"/>
  <c r="D19" i="28"/>
  <c r="C19" i="28"/>
  <c r="D18" i="28"/>
  <c r="C18" i="28"/>
  <c r="D17" i="28"/>
  <c r="C17" i="28"/>
  <c r="D16" i="28"/>
  <c r="C16" i="28"/>
  <c r="D15" i="28"/>
  <c r="C15" i="28"/>
  <c r="D14" i="28"/>
  <c r="C14" i="28"/>
  <c r="D13" i="28"/>
  <c r="C13" i="28"/>
  <c r="D12" i="28"/>
  <c r="C12" i="28"/>
  <c r="D11" i="28"/>
  <c r="C11" i="28"/>
  <c r="D10" i="28"/>
  <c r="C10" i="28"/>
  <c r="D9" i="28"/>
  <c r="C9" i="28"/>
  <c r="D8" i="28"/>
  <c r="C8" i="28"/>
  <c r="D7" i="28"/>
  <c r="C7" i="28"/>
  <c r="D6" i="28"/>
  <c r="C6" i="28"/>
  <c r="D5" i="28"/>
  <c r="C5" i="28"/>
  <c r="D4" i="28"/>
  <c r="C4" i="28"/>
  <c r="D3" i="28"/>
  <c r="C3" i="28"/>
  <c r="A4" i="28" l="1"/>
  <c r="A5" i="28" s="1"/>
  <c r="A6" i="28" s="1"/>
  <c r="A7" i="28" s="1"/>
  <c r="A52" i="28"/>
  <c r="I27" i="28"/>
  <c r="AD32" i="28"/>
  <c r="Z32" i="28"/>
  <c r="V32" i="28"/>
  <c r="R32" i="28"/>
  <c r="N32" i="28"/>
  <c r="J32" i="28"/>
  <c r="AC32" i="28"/>
  <c r="Y32" i="28"/>
  <c r="U32" i="28"/>
  <c r="Q32" i="28"/>
  <c r="M32" i="28"/>
  <c r="I32" i="28"/>
  <c r="AF32" i="28"/>
  <c r="AB32" i="28"/>
  <c r="X32" i="28"/>
  <c r="T32" i="28"/>
  <c r="P32" i="28"/>
  <c r="L32" i="28"/>
  <c r="AE32" i="28"/>
  <c r="O32" i="28"/>
  <c r="AA32" i="28"/>
  <c r="K32" i="28"/>
  <c r="W32" i="28"/>
  <c r="S32" i="28"/>
  <c r="AF42" i="28"/>
  <c r="AB42" i="28"/>
  <c r="X42" i="28"/>
  <c r="T42" i="28"/>
  <c r="P42" i="28"/>
  <c r="L42" i="28"/>
  <c r="AD42" i="28"/>
  <c r="Z42" i="28"/>
  <c r="V42" i="28"/>
  <c r="R42" i="28"/>
  <c r="N42" i="28"/>
  <c r="J42" i="28"/>
  <c r="AC42" i="28"/>
  <c r="Y42" i="28"/>
  <c r="U42" i="28"/>
  <c r="Q42" i="28"/>
  <c r="M42" i="28"/>
  <c r="I42" i="28"/>
  <c r="AA42" i="28"/>
  <c r="K42" i="28"/>
  <c r="W42" i="28"/>
  <c r="AE42" i="28"/>
  <c r="O42" i="28"/>
  <c r="S42" i="28"/>
  <c r="AF48" i="28"/>
  <c r="AB48" i="28"/>
  <c r="X48" i="28"/>
  <c r="T48" i="28"/>
  <c r="P48" i="28"/>
  <c r="L48" i="28"/>
  <c r="AE48" i="28"/>
  <c r="AA48" i="28"/>
  <c r="W48" i="28"/>
  <c r="S48" i="28"/>
  <c r="O48" i="28"/>
  <c r="K48" i="28"/>
  <c r="AD48" i="28"/>
  <c r="Z48" i="28"/>
  <c r="V48" i="28"/>
  <c r="R48" i="28"/>
  <c r="N48" i="28"/>
  <c r="J48" i="28"/>
  <c r="AC48" i="28"/>
  <c r="Y48" i="28"/>
  <c r="U48" i="28"/>
  <c r="Q48" i="28"/>
  <c r="M48" i="28"/>
  <c r="I48" i="28"/>
  <c r="AD28" i="28"/>
  <c r="Z28" i="28"/>
  <c r="V28" i="28"/>
  <c r="R28" i="28"/>
  <c r="N28" i="28"/>
  <c r="J28" i="28"/>
  <c r="AC28" i="28"/>
  <c r="Y28" i="28"/>
  <c r="U28" i="28"/>
  <c r="Q28" i="28"/>
  <c r="M28" i="28"/>
  <c r="I28" i="28"/>
  <c r="AF28" i="28"/>
  <c r="AB28" i="28"/>
  <c r="X28" i="28"/>
  <c r="T28" i="28"/>
  <c r="P28" i="28"/>
  <c r="L28" i="28"/>
  <c r="AE28" i="28"/>
  <c r="O28" i="28"/>
  <c r="AA28" i="28"/>
  <c r="K28" i="28"/>
  <c r="W28" i="28"/>
  <c r="S28" i="28"/>
  <c r="AD34" i="28"/>
  <c r="AC34" i="28"/>
  <c r="AF34" i="28"/>
  <c r="Z34" i="28"/>
  <c r="V34" i="28"/>
  <c r="R34" i="28"/>
  <c r="N34" i="28"/>
  <c r="J34" i="28"/>
  <c r="AE34" i="28"/>
  <c r="Y34" i="28"/>
  <c r="U34" i="28"/>
  <c r="Q34" i="28"/>
  <c r="M34" i="28"/>
  <c r="I34" i="28"/>
  <c r="AB34" i="28"/>
  <c r="X34" i="28"/>
  <c r="T34" i="28"/>
  <c r="P34" i="28"/>
  <c r="L34" i="28"/>
  <c r="O34" i="28"/>
  <c r="AA34" i="28"/>
  <c r="K34" i="28"/>
  <c r="W34" i="28"/>
  <c r="S34" i="28"/>
  <c r="AF40" i="28"/>
  <c r="AB40" i="28"/>
  <c r="X40" i="28"/>
  <c r="T40" i="28"/>
  <c r="P40" i="28"/>
  <c r="L40" i="28"/>
  <c r="AD40" i="28"/>
  <c r="Z40" i="28"/>
  <c r="V40" i="28"/>
  <c r="R40" i="28"/>
  <c r="N40" i="28"/>
  <c r="J40" i="28"/>
  <c r="AC40" i="28"/>
  <c r="Y40" i="28"/>
  <c r="U40" i="28"/>
  <c r="Q40" i="28"/>
  <c r="M40" i="28"/>
  <c r="I40" i="28"/>
  <c r="AA40" i="28"/>
  <c r="K40" i="28"/>
  <c r="W40" i="28"/>
  <c r="AE40" i="28"/>
  <c r="O40" i="28"/>
  <c r="S40" i="28"/>
  <c r="AF46" i="28"/>
  <c r="AB46" i="28"/>
  <c r="X46" i="28"/>
  <c r="T46" i="28"/>
  <c r="P46" i="28"/>
  <c r="L46" i="28"/>
  <c r="AE46" i="28"/>
  <c r="AA46" i="28"/>
  <c r="W46" i="28"/>
  <c r="S46" i="28"/>
  <c r="O46" i="28"/>
  <c r="K46" i="28"/>
  <c r="AD46" i="28"/>
  <c r="Z46" i="28"/>
  <c r="V46" i="28"/>
  <c r="R46" i="28"/>
  <c r="N46" i="28"/>
  <c r="J46" i="28"/>
  <c r="AC46" i="28"/>
  <c r="Y46" i="28"/>
  <c r="U46" i="28"/>
  <c r="Q46" i="28"/>
  <c r="M46" i="28"/>
  <c r="I46" i="28"/>
  <c r="AD27" i="28"/>
  <c r="Z27" i="28"/>
  <c r="V27" i="28"/>
  <c r="R27" i="28"/>
  <c r="N27" i="28"/>
  <c r="J27" i="28"/>
  <c r="AC27" i="28"/>
  <c r="Y27" i="28"/>
  <c r="U27" i="28"/>
  <c r="Q27" i="28"/>
  <c r="M27" i="28"/>
  <c r="AF27" i="28"/>
  <c r="AB27" i="28"/>
  <c r="X27" i="28"/>
  <c r="T27" i="28"/>
  <c r="P27" i="28"/>
  <c r="L27" i="28"/>
  <c r="W27" i="28"/>
  <c r="S27" i="28"/>
  <c r="AE27" i="28"/>
  <c r="O27" i="28"/>
  <c r="AA27" i="28"/>
  <c r="K27" i="28"/>
  <c r="AD29" i="28"/>
  <c r="Z29" i="28"/>
  <c r="V29" i="28"/>
  <c r="R29" i="28"/>
  <c r="N29" i="28"/>
  <c r="J29" i="28"/>
  <c r="AC29" i="28"/>
  <c r="Y29" i="28"/>
  <c r="U29" i="28"/>
  <c r="Q29" i="28"/>
  <c r="M29" i="28"/>
  <c r="I29" i="28"/>
  <c r="AF29" i="28"/>
  <c r="AB29" i="28"/>
  <c r="X29" i="28"/>
  <c r="T29" i="28"/>
  <c r="P29" i="28"/>
  <c r="L29" i="28"/>
  <c r="W29" i="28"/>
  <c r="S29" i="28"/>
  <c r="AE29" i="28"/>
  <c r="O29" i="28"/>
  <c r="AA29" i="28"/>
  <c r="K29" i="28"/>
  <c r="AD31" i="28"/>
  <c r="Z31" i="28"/>
  <c r="V31" i="28"/>
  <c r="R31" i="28"/>
  <c r="N31" i="28"/>
  <c r="J31" i="28"/>
  <c r="AC31" i="28"/>
  <c r="Y31" i="28"/>
  <c r="U31" i="28"/>
  <c r="Q31" i="28"/>
  <c r="M31" i="28"/>
  <c r="I31" i="28"/>
  <c r="AF31" i="28"/>
  <c r="AB31" i="28"/>
  <c r="X31" i="28"/>
  <c r="T31" i="28"/>
  <c r="P31" i="28"/>
  <c r="L31" i="28"/>
  <c r="W31" i="28"/>
  <c r="S31" i="28"/>
  <c r="AE31" i="28"/>
  <c r="O31" i="28"/>
  <c r="AA31" i="28"/>
  <c r="K31" i="28"/>
  <c r="AD33" i="28"/>
  <c r="Z33" i="28"/>
  <c r="V33" i="28"/>
  <c r="R33" i="28"/>
  <c r="N33" i="28"/>
  <c r="J33" i="28"/>
  <c r="AC33" i="28"/>
  <c r="Y33" i="28"/>
  <c r="U33" i="28"/>
  <c r="Q33" i="28"/>
  <c r="M33" i="28"/>
  <c r="I33" i="28"/>
  <c r="AF33" i="28"/>
  <c r="AB33" i="28"/>
  <c r="X33" i="28"/>
  <c r="T33" i="28"/>
  <c r="P33" i="28"/>
  <c r="L33" i="28"/>
  <c r="W33" i="28"/>
  <c r="S33" i="28"/>
  <c r="AE33" i="28"/>
  <c r="O33" i="28"/>
  <c r="AA33" i="28"/>
  <c r="K33" i="28"/>
  <c r="AD35" i="28"/>
  <c r="Z35" i="28"/>
  <c r="V35" i="28"/>
  <c r="R35" i="28"/>
  <c r="N35" i="28"/>
  <c r="J35" i="28"/>
  <c r="AC35" i="28"/>
  <c r="Y35" i="28"/>
  <c r="U35" i="28"/>
  <c r="Q35" i="28"/>
  <c r="M35" i="28"/>
  <c r="I35" i="28"/>
  <c r="AF35" i="28"/>
  <c r="X35" i="28"/>
  <c r="P35" i="28"/>
  <c r="AE35" i="28"/>
  <c r="W35" i="28"/>
  <c r="O35" i="28"/>
  <c r="AA35" i="28"/>
  <c r="AB35" i="28"/>
  <c r="T35" i="28"/>
  <c r="L35" i="28"/>
  <c r="S35" i="28"/>
  <c r="K35" i="28"/>
  <c r="AD37" i="28"/>
  <c r="Z37" i="28"/>
  <c r="V37" i="28"/>
  <c r="R37" i="28"/>
  <c r="N37" i="28"/>
  <c r="J37" i="28"/>
  <c r="AC37" i="28"/>
  <c r="Y37" i="28"/>
  <c r="U37" i="28"/>
  <c r="Q37" i="28"/>
  <c r="M37" i="28"/>
  <c r="I37" i="28"/>
  <c r="AF37" i="28"/>
  <c r="X37" i="28"/>
  <c r="P37" i="28"/>
  <c r="AE37" i="28"/>
  <c r="W37" i="28"/>
  <c r="O37" i="28"/>
  <c r="AA37" i="28"/>
  <c r="K37" i="28"/>
  <c r="AB37" i="28"/>
  <c r="T37" i="28"/>
  <c r="L37" i="28"/>
  <c r="S37" i="28"/>
  <c r="AF39" i="28"/>
  <c r="AD39" i="28"/>
  <c r="Z39" i="28"/>
  <c r="V39" i="28"/>
  <c r="R39" i="28"/>
  <c r="N39" i="28"/>
  <c r="J39" i="28"/>
  <c r="AC39" i="28"/>
  <c r="Y39" i="28"/>
  <c r="U39" i="28"/>
  <c r="Q39" i="28"/>
  <c r="M39" i="28"/>
  <c r="I39" i="28"/>
  <c r="X39" i="28"/>
  <c r="P39" i="28"/>
  <c r="AE39" i="28"/>
  <c r="W39" i="28"/>
  <c r="O39" i="28"/>
  <c r="AA39" i="28"/>
  <c r="S39" i="28"/>
  <c r="K39" i="28"/>
  <c r="AB39" i="28"/>
  <c r="T39" i="28"/>
  <c r="L39" i="28"/>
  <c r="AF41" i="28"/>
  <c r="AB41" i="28"/>
  <c r="X41" i="28"/>
  <c r="T41" i="28"/>
  <c r="P41" i="28"/>
  <c r="L41" i="28"/>
  <c r="AD41" i="28"/>
  <c r="Z41" i="28"/>
  <c r="V41" i="28"/>
  <c r="R41" i="28"/>
  <c r="N41" i="28"/>
  <c r="J41" i="28"/>
  <c r="AC41" i="28"/>
  <c r="Y41" i="28"/>
  <c r="U41" i="28"/>
  <c r="Q41" i="28"/>
  <c r="M41" i="28"/>
  <c r="I41" i="28"/>
  <c r="S41" i="28"/>
  <c r="AE41" i="28"/>
  <c r="O41" i="28"/>
  <c r="W41" i="28"/>
  <c r="AA41" i="28"/>
  <c r="K41" i="28"/>
  <c r="AF43" i="28"/>
  <c r="AB43" i="28"/>
  <c r="X43" i="28"/>
  <c r="T43" i="28"/>
  <c r="P43" i="28"/>
  <c r="L43" i="28"/>
  <c r="AD43" i="28"/>
  <c r="Z43" i="28"/>
  <c r="V43" i="28"/>
  <c r="R43" i="28"/>
  <c r="N43" i="28"/>
  <c r="J43" i="28"/>
  <c r="AC43" i="28"/>
  <c r="Y43" i="28"/>
  <c r="U43" i="28"/>
  <c r="Q43" i="28"/>
  <c r="M43" i="28"/>
  <c r="I43" i="28"/>
  <c r="S43" i="28"/>
  <c r="AE43" i="28"/>
  <c r="O43" i="28"/>
  <c r="AA43" i="28"/>
  <c r="K43" i="28"/>
  <c r="W43" i="28"/>
  <c r="AF45" i="28"/>
  <c r="AB45" i="28"/>
  <c r="X45" i="28"/>
  <c r="T45" i="28"/>
  <c r="P45" i="28"/>
  <c r="L45" i="28"/>
  <c r="AE45" i="28"/>
  <c r="AA45" i="28"/>
  <c r="W45" i="28"/>
  <c r="S45" i="28"/>
  <c r="O45" i="28"/>
  <c r="K45" i="28"/>
  <c r="AD45" i="28"/>
  <c r="Z45" i="28"/>
  <c r="V45" i="28"/>
  <c r="R45" i="28"/>
  <c r="N45" i="28"/>
  <c r="J45" i="28"/>
  <c r="AC45" i="28"/>
  <c r="Y45" i="28"/>
  <c r="U45" i="28"/>
  <c r="Q45" i="28"/>
  <c r="M45" i="28"/>
  <c r="I45" i="28"/>
  <c r="AF47" i="28"/>
  <c r="AB47" i="28"/>
  <c r="X47" i="28"/>
  <c r="T47" i="28"/>
  <c r="P47" i="28"/>
  <c r="L47" i="28"/>
  <c r="AE47" i="28"/>
  <c r="AA47" i="28"/>
  <c r="W47" i="28"/>
  <c r="S47" i="28"/>
  <c r="O47" i="28"/>
  <c r="K47" i="28"/>
  <c r="AD47" i="28"/>
  <c r="Z47" i="28"/>
  <c r="V47" i="28"/>
  <c r="R47" i="28"/>
  <c r="N47" i="28"/>
  <c r="J47" i="28"/>
  <c r="AC47" i="28"/>
  <c r="Y47" i="28"/>
  <c r="U47" i="28"/>
  <c r="Q47" i="28"/>
  <c r="M47" i="28"/>
  <c r="I47" i="28"/>
  <c r="AD30" i="28"/>
  <c r="Z30" i="28"/>
  <c r="V30" i="28"/>
  <c r="R30" i="28"/>
  <c r="N30" i="28"/>
  <c r="J30" i="28"/>
  <c r="AC30" i="28"/>
  <c r="Y30" i="28"/>
  <c r="U30" i="28"/>
  <c r="Q30" i="28"/>
  <c r="M30" i="28"/>
  <c r="I30" i="28"/>
  <c r="AF30" i="28"/>
  <c r="AB30" i="28"/>
  <c r="X30" i="28"/>
  <c r="T30" i="28"/>
  <c r="P30" i="28"/>
  <c r="L30" i="28"/>
  <c r="AE30" i="28"/>
  <c r="O30" i="28"/>
  <c r="AA30" i="28"/>
  <c r="K30" i="28"/>
  <c r="W30" i="28"/>
  <c r="S30" i="28"/>
  <c r="AD36" i="28"/>
  <c r="Z36" i="28"/>
  <c r="V36" i="28"/>
  <c r="R36" i="28"/>
  <c r="N36" i="28"/>
  <c r="J36" i="28"/>
  <c r="AC36" i="28"/>
  <c r="Y36" i="28"/>
  <c r="U36" i="28"/>
  <c r="Q36" i="28"/>
  <c r="M36" i="28"/>
  <c r="I36" i="28"/>
  <c r="AF36" i="28"/>
  <c r="X36" i="28"/>
  <c r="P36" i="28"/>
  <c r="AE36" i="28"/>
  <c r="W36" i="28"/>
  <c r="O36" i="28"/>
  <c r="S36" i="28"/>
  <c r="AB36" i="28"/>
  <c r="T36" i="28"/>
  <c r="L36" i="28"/>
  <c r="AA36" i="28"/>
  <c r="K36" i="28"/>
  <c r="AD38" i="28"/>
  <c r="Z38" i="28"/>
  <c r="V38" i="28"/>
  <c r="R38" i="28"/>
  <c r="N38" i="28"/>
  <c r="J38" i="28"/>
  <c r="AC38" i="28"/>
  <c r="Y38" i="28"/>
  <c r="U38" i="28"/>
  <c r="Q38" i="28"/>
  <c r="M38" i="28"/>
  <c r="I38" i="28"/>
  <c r="AF38" i="28"/>
  <c r="X38" i="28"/>
  <c r="P38" i="28"/>
  <c r="AE38" i="28"/>
  <c r="W38" i="28"/>
  <c r="O38" i="28"/>
  <c r="S38" i="28"/>
  <c r="K38" i="28"/>
  <c r="AB38" i="28"/>
  <c r="T38" i="28"/>
  <c r="L38" i="28"/>
  <c r="AA38" i="28"/>
  <c r="AF44" i="28"/>
  <c r="AB44" i="28"/>
  <c r="X44" i="28"/>
  <c r="T44" i="28"/>
  <c r="P44" i="28"/>
  <c r="L44" i="28"/>
  <c r="AE44" i="28"/>
  <c r="AD44" i="28"/>
  <c r="Z44" i="28"/>
  <c r="V44" i="28"/>
  <c r="R44" i="28"/>
  <c r="N44" i="28"/>
  <c r="J44" i="28"/>
  <c r="AC44" i="28"/>
  <c r="Y44" i="28"/>
  <c r="U44" i="28"/>
  <c r="Q44" i="28"/>
  <c r="M44" i="28"/>
  <c r="I44" i="28"/>
  <c r="AA44" i="28"/>
  <c r="K44" i="28"/>
  <c r="W44" i="28"/>
  <c r="O44" i="28"/>
  <c r="S44" i="28"/>
  <c r="A28" i="28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A39" i="28" s="1"/>
  <c r="A40" i="28" s="1"/>
  <c r="A41" i="28" s="1"/>
  <c r="A42" i="28" s="1"/>
  <c r="A43" i="28" s="1"/>
  <c r="A44" i="28" s="1"/>
  <c r="A45" i="28" s="1"/>
  <c r="A46" i="28" s="1"/>
  <c r="A47" i="28" s="1"/>
  <c r="A48" i="28" s="1"/>
  <c r="P26" i="29"/>
  <c r="M6" i="29"/>
  <c r="K6" i="29"/>
  <c r="L6" i="29"/>
  <c r="P4" i="29"/>
  <c r="J6" i="29"/>
  <c r="F15" i="28"/>
  <c r="F19" i="28"/>
  <c r="F12" i="28"/>
  <c r="F10" i="28"/>
  <c r="F69" i="28"/>
  <c r="F70" i="28"/>
  <c r="H31" i="13"/>
  <c r="F53" i="28"/>
  <c r="F65" i="28"/>
  <c r="F36" i="28"/>
  <c r="F38" i="28"/>
  <c r="F16" i="28"/>
  <c r="F5" i="28"/>
  <c r="F17" i="28"/>
  <c r="F21" i="28"/>
  <c r="F35" i="28"/>
  <c r="F29" i="28"/>
  <c r="F37" i="28"/>
  <c r="F41" i="28"/>
  <c r="F14" i="28"/>
  <c r="F22" i="28"/>
  <c r="F7" i="28"/>
  <c r="F34" i="28"/>
  <c r="A19" i="28"/>
  <c r="F23" i="28"/>
  <c r="A15" i="28"/>
  <c r="F11" i="28"/>
  <c r="F48" i="28"/>
  <c r="F27" i="28"/>
  <c r="F31" i="28"/>
  <c r="F3" i="28"/>
  <c r="F6" i="28"/>
  <c r="F30" i="28"/>
  <c r="F42" i="28"/>
  <c r="F46" i="28"/>
  <c r="A12" i="28"/>
  <c r="F43" i="28"/>
  <c r="F47" i="28"/>
  <c r="F4" i="28"/>
  <c r="F59" i="28"/>
  <c r="F71" i="28"/>
  <c r="F58" i="28"/>
  <c r="F52" i="28"/>
  <c r="F56" i="28"/>
  <c r="F64" i="28"/>
  <c r="F68" i="28"/>
  <c r="F72" i="28"/>
  <c r="F60" i="28"/>
  <c r="F62" i="28"/>
  <c r="F63" i="28"/>
  <c r="F57" i="28"/>
  <c r="F51" i="28"/>
  <c r="F67" i="28"/>
  <c r="F66" i="28"/>
  <c r="F61" i="28"/>
  <c r="F55" i="28"/>
  <c r="F54" i="28"/>
  <c r="A53" i="28"/>
  <c r="A54" i="28" s="1"/>
  <c r="A55" i="28" s="1"/>
  <c r="A56" i="28" s="1"/>
  <c r="A57" i="28" s="1"/>
  <c r="A58" i="28" s="1"/>
  <c r="A59" i="28" s="1"/>
  <c r="A60" i="28" s="1"/>
  <c r="A61" i="28" s="1"/>
  <c r="A62" i="28" s="1"/>
  <c r="A63" i="28" s="1"/>
  <c r="A64" i="28" s="1"/>
  <c r="A65" i="28" s="1"/>
  <c r="A66" i="28" s="1"/>
  <c r="A67" i="28" s="1"/>
  <c r="A68" i="28" s="1"/>
  <c r="A69" i="28" s="1"/>
  <c r="A70" i="28" s="1"/>
  <c r="A71" i="28" s="1"/>
  <c r="A72" i="28" s="1"/>
  <c r="F45" i="28"/>
  <c r="F44" i="28"/>
  <c r="F40" i="28"/>
  <c r="F33" i="28"/>
  <c r="F32" i="28"/>
  <c r="F28" i="28"/>
  <c r="F39" i="28"/>
  <c r="F24" i="28"/>
  <c r="F20" i="28"/>
  <c r="F18" i="28"/>
  <c r="F13" i="28"/>
  <c r="F9" i="28"/>
  <c r="F8" i="28"/>
  <c r="A24" i="28"/>
  <c r="A9" i="28"/>
  <c r="AD55" i="28"/>
  <c r="V54" i="28"/>
  <c r="AD53" i="28"/>
  <c r="V52" i="28"/>
  <c r="AD51" i="28"/>
  <c r="AC56" i="28"/>
  <c r="AC55" i="28"/>
  <c r="AC54" i="28"/>
  <c r="AC53" i="28"/>
  <c r="AC51" i="28"/>
  <c r="AC57" i="28"/>
  <c r="AC52" i="28"/>
  <c r="Q72" i="28"/>
  <c r="Q70" i="28"/>
  <c r="Q68" i="28"/>
  <c r="Q66" i="28"/>
  <c r="N52" i="28"/>
  <c r="V53" i="28"/>
  <c r="AD54" i="28"/>
  <c r="R51" i="28"/>
  <c r="Z52" i="28"/>
  <c r="J54" i="28"/>
  <c r="R55" i="28"/>
  <c r="Q64" i="28"/>
  <c r="Q62" i="28"/>
  <c r="Q60" i="28"/>
  <c r="V51" i="28"/>
  <c r="AD52" i="28"/>
  <c r="N54" i="28"/>
  <c r="V55" i="28"/>
  <c r="J52" i="28"/>
  <c r="R53" i="28"/>
  <c r="Z54" i="28"/>
  <c r="J56" i="28"/>
  <c r="J51" i="28"/>
  <c r="Z51" i="28"/>
  <c r="R52" i="28"/>
  <c r="J53" i="28"/>
  <c r="Z53" i="28"/>
  <c r="R54" i="28"/>
  <c r="J55" i="28"/>
  <c r="Z55" i="28"/>
  <c r="Y71" i="28"/>
  <c r="I71" i="28"/>
  <c r="Y69" i="28"/>
  <c r="I69" i="28"/>
  <c r="Y67" i="28"/>
  <c r="I67" i="28"/>
  <c r="Y65" i="28"/>
  <c r="I65" i="28"/>
  <c r="I63" i="28"/>
  <c r="Y63" i="28"/>
  <c r="Y61" i="28"/>
  <c r="I61" i="28"/>
  <c r="Y59" i="28"/>
  <c r="I59" i="28"/>
  <c r="Z58" i="28"/>
  <c r="N58" i="28"/>
  <c r="R58" i="28"/>
  <c r="V58" i="28"/>
  <c r="J58" i="28"/>
  <c r="Z57" i="28"/>
  <c r="N57" i="28"/>
  <c r="AD57" i="28"/>
  <c r="R57" i="28"/>
  <c r="V57" i="28"/>
  <c r="J57" i="28"/>
  <c r="Z56" i="28"/>
  <c r="N56" i="28"/>
  <c r="AD56" i="28"/>
  <c r="R56" i="28"/>
  <c r="V56" i="28"/>
  <c r="N51" i="28"/>
  <c r="N53" i="28"/>
  <c r="N55" i="28"/>
  <c r="AF72" i="28"/>
  <c r="AB72" i="28"/>
  <c r="X72" i="28"/>
  <c r="T72" i="28"/>
  <c r="P72" i="28"/>
  <c r="L72" i="28"/>
  <c r="AE72" i="28"/>
  <c r="AA72" i="28"/>
  <c r="W72" i="28"/>
  <c r="S72" i="28"/>
  <c r="O72" i="28"/>
  <c r="K72" i="28"/>
  <c r="AD72" i="28"/>
  <c r="Z72" i="28"/>
  <c r="V72" i="28"/>
  <c r="R72" i="28"/>
  <c r="N72" i="28"/>
  <c r="J72" i="28"/>
  <c r="AF71" i="28"/>
  <c r="AB71" i="28"/>
  <c r="X71" i="28"/>
  <c r="T71" i="28"/>
  <c r="P71" i="28"/>
  <c r="L71" i="28"/>
  <c r="AE71" i="28"/>
  <c r="AA71" i="28"/>
  <c r="W71" i="28"/>
  <c r="S71" i="28"/>
  <c r="O71" i="28"/>
  <c r="K71" i="28"/>
  <c r="AD71" i="28"/>
  <c r="Z71" i="28"/>
  <c r="V71" i="28"/>
  <c r="R71" i="28"/>
  <c r="N71" i="28"/>
  <c r="J71" i="28"/>
  <c r="AF70" i="28"/>
  <c r="AB70" i="28"/>
  <c r="X70" i="28"/>
  <c r="T70" i="28"/>
  <c r="P70" i="28"/>
  <c r="L70" i="28"/>
  <c r="AE70" i="28"/>
  <c r="AA70" i="28"/>
  <c r="W70" i="28"/>
  <c r="S70" i="28"/>
  <c r="O70" i="28"/>
  <c r="K70" i="28"/>
  <c r="AD70" i="28"/>
  <c r="Z70" i="28"/>
  <c r="V70" i="28"/>
  <c r="R70" i="28"/>
  <c r="N70" i="28"/>
  <c r="J70" i="28"/>
  <c r="AF69" i="28"/>
  <c r="AB69" i="28"/>
  <c r="X69" i="28"/>
  <c r="T69" i="28"/>
  <c r="P69" i="28"/>
  <c r="L69" i="28"/>
  <c r="AE69" i="28"/>
  <c r="AA69" i="28"/>
  <c r="W69" i="28"/>
  <c r="S69" i="28"/>
  <c r="O69" i="28"/>
  <c r="K69" i="28"/>
  <c r="AD69" i="28"/>
  <c r="Z69" i="28"/>
  <c r="V69" i="28"/>
  <c r="R69" i="28"/>
  <c r="N69" i="28"/>
  <c r="J69" i="28"/>
  <c r="AF68" i="28"/>
  <c r="AB68" i="28"/>
  <c r="X68" i="28"/>
  <c r="T68" i="28"/>
  <c r="P68" i="28"/>
  <c r="L68" i="28"/>
  <c r="AE68" i="28"/>
  <c r="AA68" i="28"/>
  <c r="W68" i="28"/>
  <c r="S68" i="28"/>
  <c r="O68" i="28"/>
  <c r="K68" i="28"/>
  <c r="AD68" i="28"/>
  <c r="Z68" i="28"/>
  <c r="V68" i="28"/>
  <c r="R68" i="28"/>
  <c r="N68" i="28"/>
  <c r="J68" i="28"/>
  <c r="AF67" i="28"/>
  <c r="AB67" i="28"/>
  <c r="X67" i="28"/>
  <c r="T67" i="28"/>
  <c r="P67" i="28"/>
  <c r="L67" i="28"/>
  <c r="AE67" i="28"/>
  <c r="AA67" i="28"/>
  <c r="W67" i="28"/>
  <c r="S67" i="28"/>
  <c r="O67" i="28"/>
  <c r="K67" i="28"/>
  <c r="AD67" i="28"/>
  <c r="Z67" i="28"/>
  <c r="V67" i="28"/>
  <c r="R67" i="28"/>
  <c r="N67" i="28"/>
  <c r="J67" i="28"/>
  <c r="AF66" i="28"/>
  <c r="AB66" i="28"/>
  <c r="X66" i="28"/>
  <c r="T66" i="28"/>
  <c r="P66" i="28"/>
  <c r="L66" i="28"/>
  <c r="AE66" i="28"/>
  <c r="AA66" i="28"/>
  <c r="W66" i="28"/>
  <c r="S66" i="28"/>
  <c r="O66" i="28"/>
  <c r="K66" i="28"/>
  <c r="AD66" i="28"/>
  <c r="Z66" i="28"/>
  <c r="V66" i="28"/>
  <c r="R66" i="28"/>
  <c r="N66" i="28"/>
  <c r="J66" i="28"/>
  <c r="AF65" i="28"/>
  <c r="AB65" i="28"/>
  <c r="X65" i="28"/>
  <c r="T65" i="28"/>
  <c r="P65" i="28"/>
  <c r="L65" i="28"/>
  <c r="AE65" i="28"/>
  <c r="AA65" i="28"/>
  <c r="W65" i="28"/>
  <c r="S65" i="28"/>
  <c r="O65" i="28"/>
  <c r="K65" i="28"/>
  <c r="AD65" i="28"/>
  <c r="Z65" i="28"/>
  <c r="V65" i="28"/>
  <c r="R65" i="28"/>
  <c r="N65" i="28"/>
  <c r="J65" i="28"/>
  <c r="AF64" i="28"/>
  <c r="AB64" i="28"/>
  <c r="X64" i="28"/>
  <c r="T64" i="28"/>
  <c r="P64" i="28"/>
  <c r="L64" i="28"/>
  <c r="AE64" i="28"/>
  <c r="AA64" i="28"/>
  <c r="W64" i="28"/>
  <c r="S64" i="28"/>
  <c r="O64" i="28"/>
  <c r="K64" i="28"/>
  <c r="AD64" i="28"/>
  <c r="Z64" i="28"/>
  <c r="V64" i="28"/>
  <c r="R64" i="28"/>
  <c r="N64" i="28"/>
  <c r="J64" i="28"/>
  <c r="AF63" i="28"/>
  <c r="AB63" i="28"/>
  <c r="X63" i="28"/>
  <c r="T63" i="28"/>
  <c r="P63" i="28"/>
  <c r="L63" i="28"/>
  <c r="AE63" i="28"/>
  <c r="AA63" i="28"/>
  <c r="W63" i="28"/>
  <c r="S63" i="28"/>
  <c r="O63" i="28"/>
  <c r="K63" i="28"/>
  <c r="AD63" i="28"/>
  <c r="Z63" i="28"/>
  <c r="V63" i="28"/>
  <c r="R63" i="28"/>
  <c r="N63" i="28"/>
  <c r="J63" i="28"/>
  <c r="AF62" i="28"/>
  <c r="AB62" i="28"/>
  <c r="X62" i="28"/>
  <c r="T62" i="28"/>
  <c r="P62" i="28"/>
  <c r="L62" i="28"/>
  <c r="AE62" i="28"/>
  <c r="AA62" i="28"/>
  <c r="W62" i="28"/>
  <c r="S62" i="28"/>
  <c r="O62" i="28"/>
  <c r="K62" i="28"/>
  <c r="AD62" i="28"/>
  <c r="Z62" i="28"/>
  <c r="V62" i="28"/>
  <c r="R62" i="28"/>
  <c r="N62" i="28"/>
  <c r="J62" i="28"/>
  <c r="AF61" i="28"/>
  <c r="AB61" i="28"/>
  <c r="X61" i="28"/>
  <c r="T61" i="28"/>
  <c r="P61" i="28"/>
  <c r="L61" i="28"/>
  <c r="AE61" i="28"/>
  <c r="AA61" i="28"/>
  <c r="W61" i="28"/>
  <c r="S61" i="28"/>
  <c r="O61" i="28"/>
  <c r="K61" i="28"/>
  <c r="AD61" i="28"/>
  <c r="Z61" i="28"/>
  <c r="V61" i="28"/>
  <c r="R61" i="28"/>
  <c r="N61" i="28"/>
  <c r="J61" i="28"/>
  <c r="AF60" i="28"/>
  <c r="AB60" i="28"/>
  <c r="X60" i="28"/>
  <c r="T60" i="28"/>
  <c r="P60" i="28"/>
  <c r="L60" i="28"/>
  <c r="AE60" i="28"/>
  <c r="AA60" i="28"/>
  <c r="W60" i="28"/>
  <c r="S60" i="28"/>
  <c r="O60" i="28"/>
  <c r="K60" i="28"/>
  <c r="AD60" i="28"/>
  <c r="Z60" i="28"/>
  <c r="V60" i="28"/>
  <c r="R60" i="28"/>
  <c r="N60" i="28"/>
  <c r="J60" i="28"/>
  <c r="AF59" i="28"/>
  <c r="AB59" i="28"/>
  <c r="X59" i="28"/>
  <c r="T59" i="28"/>
  <c r="P59" i="28"/>
  <c r="L59" i="28"/>
  <c r="AE59" i="28"/>
  <c r="AA59" i="28"/>
  <c r="W59" i="28"/>
  <c r="S59" i="28"/>
  <c r="O59" i="28"/>
  <c r="K59" i="28"/>
  <c r="AD59" i="28"/>
  <c r="Z59" i="28"/>
  <c r="V59" i="28"/>
  <c r="R59" i="28"/>
  <c r="N59" i="28"/>
  <c r="J59" i="28"/>
  <c r="AF58" i="28"/>
  <c r="AE58" i="28"/>
  <c r="AD58" i="28"/>
  <c r="K51" i="28"/>
  <c r="O51" i="28"/>
  <c r="S51" i="28"/>
  <c r="W51" i="28"/>
  <c r="AA51" i="28"/>
  <c r="AE51" i="28"/>
  <c r="K52" i="28"/>
  <c r="O52" i="28"/>
  <c r="S52" i="28"/>
  <c r="W52" i="28"/>
  <c r="AA52" i="28"/>
  <c r="AE52" i="28"/>
  <c r="K53" i="28"/>
  <c r="O53" i="28"/>
  <c r="S53" i="28"/>
  <c r="W53" i="28"/>
  <c r="AA53" i="28"/>
  <c r="AE53" i="28"/>
  <c r="K54" i="28"/>
  <c r="O54" i="28"/>
  <c r="S54" i="28"/>
  <c r="W54" i="28"/>
  <c r="AA54" i="28"/>
  <c r="AE54" i="28"/>
  <c r="K55" i="28"/>
  <c r="O55" i="28"/>
  <c r="S55" i="28"/>
  <c r="W55" i="28"/>
  <c r="AA55" i="28"/>
  <c r="AE55" i="28"/>
  <c r="K56" i="28"/>
  <c r="O56" i="28"/>
  <c r="S56" i="28"/>
  <c r="W56" i="28"/>
  <c r="AA56" i="28"/>
  <c r="AE56" i="28"/>
  <c r="K57" i="28"/>
  <c r="O57" i="28"/>
  <c r="S57" i="28"/>
  <c r="W57" i="28"/>
  <c r="AA57" i="28"/>
  <c r="AE57" i="28"/>
  <c r="K58" i="28"/>
  <c r="O58" i="28"/>
  <c r="S58" i="28"/>
  <c r="W58" i="28"/>
  <c r="AA58" i="28"/>
  <c r="M59" i="28"/>
  <c r="AC59" i="28"/>
  <c r="U60" i="28"/>
  <c r="M61" i="28"/>
  <c r="AC61" i="28"/>
  <c r="U62" i="28"/>
  <c r="M63" i="28"/>
  <c r="AC63" i="28"/>
  <c r="U64" i="28"/>
  <c r="M65" i="28"/>
  <c r="AC65" i="28"/>
  <c r="U66" i="28"/>
  <c r="M67" i="28"/>
  <c r="AC67" i="28"/>
  <c r="U68" i="28"/>
  <c r="M69" i="28"/>
  <c r="AC69" i="28"/>
  <c r="U70" i="28"/>
  <c r="M71" i="28"/>
  <c r="AC71" i="28"/>
  <c r="U72" i="28"/>
  <c r="L51" i="28"/>
  <c r="P51" i="28"/>
  <c r="T51" i="28"/>
  <c r="X51" i="28"/>
  <c r="AB51" i="28"/>
  <c r="AF51" i="28"/>
  <c r="L52" i="28"/>
  <c r="P52" i="28"/>
  <c r="T52" i="28"/>
  <c r="X52" i="28"/>
  <c r="AB52" i="28"/>
  <c r="AF52" i="28"/>
  <c r="L53" i="28"/>
  <c r="P53" i="28"/>
  <c r="T53" i="28"/>
  <c r="X53" i="28"/>
  <c r="AB53" i="28"/>
  <c r="AF53" i="28"/>
  <c r="L54" i="28"/>
  <c r="P54" i="28"/>
  <c r="T54" i="28"/>
  <c r="X54" i="28"/>
  <c r="AB54" i="28"/>
  <c r="AF54" i="28"/>
  <c r="L55" i="28"/>
  <c r="P55" i="28"/>
  <c r="T55" i="28"/>
  <c r="X55" i="28"/>
  <c r="AB55" i="28"/>
  <c r="AF55" i="28"/>
  <c r="L56" i="28"/>
  <c r="P56" i="28"/>
  <c r="T56" i="28"/>
  <c r="X56" i="28"/>
  <c r="AB56" i="28"/>
  <c r="AF56" i="28"/>
  <c r="L57" i="28"/>
  <c r="P57" i="28"/>
  <c r="T57" i="28"/>
  <c r="X57" i="28"/>
  <c r="AB57" i="28"/>
  <c r="AF57" i="28"/>
  <c r="L58" i="28"/>
  <c r="P58" i="28"/>
  <c r="T58" i="28"/>
  <c r="X58" i="28"/>
  <c r="AB58" i="28"/>
  <c r="Q59" i="28"/>
  <c r="I60" i="28"/>
  <c r="Y60" i="28"/>
  <c r="Q61" i="28"/>
  <c r="I62" i="28"/>
  <c r="Y62" i="28"/>
  <c r="Q63" i="28"/>
  <c r="I64" i="28"/>
  <c r="Y64" i="28"/>
  <c r="Q65" i="28"/>
  <c r="I66" i="28"/>
  <c r="Y66" i="28"/>
  <c r="Q67" i="28"/>
  <c r="I68" i="28"/>
  <c r="Y68" i="28"/>
  <c r="Q69" i="28"/>
  <c r="I70" i="28"/>
  <c r="Y70" i="28"/>
  <c r="Q71" i="28"/>
  <c r="I72" i="28"/>
  <c r="Y72" i="28"/>
  <c r="I51" i="28"/>
  <c r="M51" i="28"/>
  <c r="Q51" i="28"/>
  <c r="U51" i="28"/>
  <c r="Y51" i="28"/>
  <c r="I52" i="28"/>
  <c r="M52" i="28"/>
  <c r="Q52" i="28"/>
  <c r="U52" i="28"/>
  <c r="Y52" i="28"/>
  <c r="I53" i="28"/>
  <c r="M53" i="28"/>
  <c r="Q53" i="28"/>
  <c r="U53" i="28"/>
  <c r="Y53" i="28"/>
  <c r="I54" i="28"/>
  <c r="M54" i="28"/>
  <c r="Q54" i="28"/>
  <c r="U54" i="28"/>
  <c r="Y54" i="28"/>
  <c r="I55" i="28"/>
  <c r="M55" i="28"/>
  <c r="Q55" i="28"/>
  <c r="U55" i="28"/>
  <c r="Y55" i="28"/>
  <c r="I56" i="28"/>
  <c r="M56" i="28"/>
  <c r="Q56" i="28"/>
  <c r="U56" i="28"/>
  <c r="Y56" i="28"/>
  <c r="I57" i="28"/>
  <c r="M57" i="28"/>
  <c r="Q57" i="28"/>
  <c r="U57" i="28"/>
  <c r="Y57" i="28"/>
  <c r="I58" i="28"/>
  <c r="M58" i="28"/>
  <c r="Q58" i="28"/>
  <c r="U58" i="28"/>
  <c r="Y58" i="28"/>
  <c r="AC58" i="28"/>
  <c r="U59" i="28"/>
  <c r="M60" i="28"/>
  <c r="AC60" i="28"/>
  <c r="U61" i="28"/>
  <c r="M62" i="28"/>
  <c r="AC62" i="28"/>
  <c r="U63" i="28"/>
  <c r="M64" i="28"/>
  <c r="AC64" i="28"/>
  <c r="U65" i="28"/>
  <c r="M66" i="28"/>
  <c r="AC66" i="28"/>
  <c r="U67" i="28"/>
  <c r="M68" i="28"/>
  <c r="AC68" i="28"/>
  <c r="U69" i="28"/>
  <c r="M70" i="28"/>
  <c r="AC70" i="28"/>
  <c r="U71" i="28"/>
  <c r="M72" i="28"/>
  <c r="AC72" i="28"/>
  <c r="R4" i="28"/>
  <c r="Z5" i="28"/>
  <c r="J6" i="28"/>
  <c r="J7" i="28"/>
  <c r="R8" i="28"/>
  <c r="Z9" i="28"/>
  <c r="J10" i="28"/>
  <c r="J11" i="28"/>
  <c r="R12" i="28"/>
  <c r="Z13" i="28"/>
  <c r="J14" i="28"/>
  <c r="J15" i="28"/>
  <c r="R16" i="28"/>
  <c r="Z17" i="28"/>
  <c r="W18" i="28"/>
  <c r="S19" i="28"/>
  <c r="K20" i="28"/>
  <c r="S21" i="28"/>
  <c r="O22" i="28"/>
  <c r="W23" i="28"/>
  <c r="O24" i="28"/>
  <c r="R5" i="28"/>
  <c r="Z6" i="28"/>
  <c r="J8" i="28"/>
  <c r="R9" i="28"/>
  <c r="Z10" i="28"/>
  <c r="J12" i="28"/>
  <c r="R13" i="28"/>
  <c r="Z14" i="28"/>
  <c r="J16" i="28"/>
  <c r="R17" i="28"/>
  <c r="S18" i="28"/>
  <c r="K19" i="28"/>
  <c r="S20" i="28"/>
  <c r="K21" i="28"/>
  <c r="K22" i="28"/>
  <c r="S23" i="28"/>
  <c r="M24" i="28"/>
  <c r="S24" i="28"/>
  <c r="AA23" i="28"/>
  <c r="K23" i="28"/>
  <c r="S22" i="28"/>
  <c r="AA21" i="28"/>
  <c r="AA19" i="28"/>
  <c r="AE24" i="28"/>
  <c r="AE22" i="28"/>
  <c r="W21" i="28"/>
  <c r="AE20" i="28"/>
  <c r="O20" i="28"/>
  <c r="W19" i="28"/>
  <c r="AE18" i="28"/>
  <c r="O18" i="28"/>
  <c r="J17" i="28"/>
  <c r="Z15" i="28"/>
  <c r="R14" i="28"/>
  <c r="J13" i="28"/>
  <c r="Z11" i="28"/>
  <c r="R10" i="28"/>
  <c r="J9" i="28"/>
  <c r="Z7" i="28"/>
  <c r="R6" i="28"/>
  <c r="J5" i="28"/>
  <c r="AA24" i="28"/>
  <c r="K24" i="28"/>
  <c r="AA22" i="28"/>
  <c r="AA20" i="28"/>
  <c r="AA18" i="28"/>
  <c r="J18" i="28"/>
  <c r="Z16" i="28"/>
  <c r="R15" i="28"/>
  <c r="Z12" i="28"/>
  <c r="R11" i="28"/>
  <c r="Z8" i="28"/>
  <c r="R7" i="28"/>
  <c r="Z4" i="28"/>
  <c r="L19" i="28"/>
  <c r="L20" i="28"/>
  <c r="L21" i="28"/>
  <c r="L22" i="28"/>
  <c r="L23" i="28"/>
  <c r="L24" i="28"/>
  <c r="W24" i="28"/>
  <c r="AE23" i="28"/>
  <c r="O23" i="28"/>
  <c r="W22" i="28"/>
  <c r="AE21" i="28"/>
  <c r="O21" i="28"/>
  <c r="W20" i="28"/>
  <c r="AE19" i="28"/>
  <c r="O19" i="28"/>
  <c r="I4" i="28"/>
  <c r="M4" i="28"/>
  <c r="Q4" i="28"/>
  <c r="U4" i="28"/>
  <c r="Y4" i="28"/>
  <c r="AC4" i="28"/>
  <c r="J4" i="28"/>
  <c r="K4" i="28"/>
  <c r="O4" i="28"/>
  <c r="S4" i="28"/>
  <c r="W4" i="28"/>
  <c r="AA4" i="28"/>
  <c r="AE4" i="28"/>
  <c r="I5" i="28"/>
  <c r="M5" i="28"/>
  <c r="Q5" i="28"/>
  <c r="U5" i="28"/>
  <c r="Y5" i="28"/>
  <c r="AC5" i="28"/>
  <c r="K5" i="28"/>
  <c r="O5" i="28"/>
  <c r="S5" i="28"/>
  <c r="W5" i="28"/>
  <c r="AA5" i="28"/>
  <c r="AE5" i="28"/>
  <c r="I6" i="28"/>
  <c r="M6" i="28"/>
  <c r="Q6" i="28"/>
  <c r="U6" i="28"/>
  <c r="Y6" i="28"/>
  <c r="AC6" i="28"/>
  <c r="K6" i="28"/>
  <c r="O6" i="28"/>
  <c r="S6" i="28"/>
  <c r="W6" i="28"/>
  <c r="AA6" i="28"/>
  <c r="AE6" i="28"/>
  <c r="I7" i="28"/>
  <c r="M7" i="28"/>
  <c r="Q7" i="28"/>
  <c r="U7" i="28"/>
  <c r="Y7" i="28"/>
  <c r="AC7" i="28"/>
  <c r="K7" i="28"/>
  <c r="O7" i="28"/>
  <c r="S7" i="28"/>
  <c r="W7" i="28"/>
  <c r="AA7" i="28"/>
  <c r="AE7" i="28"/>
  <c r="I8" i="28"/>
  <c r="M8" i="28"/>
  <c r="Q8" i="28"/>
  <c r="U8" i="28"/>
  <c r="Y8" i="28"/>
  <c r="AC8" i="28"/>
  <c r="K8" i="28"/>
  <c r="O8" i="28"/>
  <c r="S8" i="28"/>
  <c r="W8" i="28"/>
  <c r="AA8" i="28"/>
  <c r="AE8" i="28"/>
  <c r="I9" i="28"/>
  <c r="M9" i="28"/>
  <c r="Q9" i="28"/>
  <c r="U9" i="28"/>
  <c r="Y9" i="28"/>
  <c r="AC9" i="28"/>
  <c r="K9" i="28"/>
  <c r="O9" i="28"/>
  <c r="S9" i="28"/>
  <c r="W9" i="28"/>
  <c r="AA9" i="28"/>
  <c r="AE9" i="28"/>
  <c r="I10" i="28"/>
  <c r="M10" i="28"/>
  <c r="Q10" i="28"/>
  <c r="U10" i="28"/>
  <c r="Y10" i="28"/>
  <c r="AC10" i="28"/>
  <c r="K10" i="28"/>
  <c r="O10" i="28"/>
  <c r="S10" i="28"/>
  <c r="W10" i="28"/>
  <c r="AA10" i="28"/>
  <c r="AE10" i="28"/>
  <c r="I11" i="28"/>
  <c r="M11" i="28"/>
  <c r="Q11" i="28"/>
  <c r="U11" i="28"/>
  <c r="Y11" i="28"/>
  <c r="AC11" i="28"/>
  <c r="K11" i="28"/>
  <c r="O11" i="28"/>
  <c r="S11" i="28"/>
  <c r="W11" i="28"/>
  <c r="AA11" i="28"/>
  <c r="AE11" i="28"/>
  <c r="I12" i="28"/>
  <c r="M12" i="28"/>
  <c r="Q12" i="28"/>
  <c r="U12" i="28"/>
  <c r="Y12" i="28"/>
  <c r="AC12" i="28"/>
  <c r="K12" i="28"/>
  <c r="O12" i="28"/>
  <c r="S12" i="28"/>
  <c r="W12" i="28"/>
  <c r="AA12" i="28"/>
  <c r="AE12" i="28"/>
  <c r="I13" i="28"/>
  <c r="M13" i="28"/>
  <c r="Q13" i="28"/>
  <c r="U13" i="28"/>
  <c r="Y13" i="28"/>
  <c r="AC13" i="28"/>
  <c r="K13" i="28"/>
  <c r="O13" i="28"/>
  <c r="S13" i="28"/>
  <c r="W13" i="28"/>
  <c r="AA13" i="28"/>
  <c r="AE13" i="28"/>
  <c r="I14" i="28"/>
  <c r="M14" i="28"/>
  <c r="Q14" i="28"/>
  <c r="U14" i="28"/>
  <c r="Y14" i="28"/>
  <c r="AC14" i="28"/>
  <c r="K14" i="28"/>
  <c r="O14" i="28"/>
  <c r="S14" i="28"/>
  <c r="W14" i="28"/>
  <c r="AA14" i="28"/>
  <c r="AE14" i="28"/>
  <c r="I15" i="28"/>
  <c r="M15" i="28"/>
  <c r="Q15" i="28"/>
  <c r="U15" i="28"/>
  <c r="Y15" i="28"/>
  <c r="AC15" i="28"/>
  <c r="K15" i="28"/>
  <c r="O15" i="28"/>
  <c r="S15" i="28"/>
  <c r="W15" i="28"/>
  <c r="AA15" i="28"/>
  <c r="AE15" i="28"/>
  <c r="I16" i="28"/>
  <c r="M16" i="28"/>
  <c r="Q16" i="28"/>
  <c r="U16" i="28"/>
  <c r="Y16" i="28"/>
  <c r="AC16" i="28"/>
  <c r="K16" i="28"/>
  <c r="O16" i="28"/>
  <c r="S16" i="28"/>
  <c r="W16" i="28"/>
  <c r="AA16" i="28"/>
  <c r="AE16" i="28"/>
  <c r="I17" i="28"/>
  <c r="M17" i="28"/>
  <c r="Q17" i="28"/>
  <c r="U17" i="28"/>
  <c r="Y17" i="28"/>
  <c r="AC17" i="28"/>
  <c r="K17" i="28"/>
  <c r="O17" i="28"/>
  <c r="S17" i="28"/>
  <c r="W17" i="28"/>
  <c r="AA17" i="28"/>
  <c r="AE17" i="28"/>
  <c r="I18" i="28"/>
  <c r="K18" i="28"/>
  <c r="AD24" i="28"/>
  <c r="Z24" i="28"/>
  <c r="V24" i="28"/>
  <c r="R24" i="28"/>
  <c r="N24" i="28"/>
  <c r="J24" i="28"/>
  <c r="AD23" i="28"/>
  <c r="Z23" i="28"/>
  <c r="V23" i="28"/>
  <c r="R23" i="28"/>
  <c r="N23" i="28"/>
  <c r="J23" i="28"/>
  <c r="AD22" i="28"/>
  <c r="Z22" i="28"/>
  <c r="V22" i="28"/>
  <c r="R22" i="28"/>
  <c r="N22" i="28"/>
  <c r="J22" i="28"/>
  <c r="AD21" i="28"/>
  <c r="Z21" i="28"/>
  <c r="V21" i="28"/>
  <c r="R21" i="28"/>
  <c r="N21" i="28"/>
  <c r="J21" i="28"/>
  <c r="AD20" i="28"/>
  <c r="Z20" i="28"/>
  <c r="V20" i="28"/>
  <c r="R20" i="28"/>
  <c r="N20" i="28"/>
  <c r="J20" i="28"/>
  <c r="AD19" i="28"/>
  <c r="Z19" i="28"/>
  <c r="V19" i="28"/>
  <c r="R19" i="28"/>
  <c r="N19" i="28"/>
  <c r="J19" i="28"/>
  <c r="AD18" i="28"/>
  <c r="Z18" i="28"/>
  <c r="V18" i="28"/>
  <c r="R18" i="28"/>
  <c r="N18" i="28"/>
  <c r="AF17" i="28"/>
  <c r="X17" i="28"/>
  <c r="P17" i="28"/>
  <c r="AF16" i="28"/>
  <c r="X16" i="28"/>
  <c r="P16" i="28"/>
  <c r="AF15" i="28"/>
  <c r="X15" i="28"/>
  <c r="P15" i="28"/>
  <c r="AF14" i="28"/>
  <c r="X14" i="28"/>
  <c r="P14" i="28"/>
  <c r="AF13" i="28"/>
  <c r="X13" i="28"/>
  <c r="P13" i="28"/>
  <c r="AF12" i="28"/>
  <c r="X12" i="28"/>
  <c r="P12" i="28"/>
  <c r="AF11" i="28"/>
  <c r="X11" i="28"/>
  <c r="P11" i="28"/>
  <c r="AF10" i="28"/>
  <c r="X10" i="28"/>
  <c r="P10" i="28"/>
  <c r="AF9" i="28"/>
  <c r="X9" i="28"/>
  <c r="P9" i="28"/>
  <c r="AF8" i="28"/>
  <c r="X8" i="28"/>
  <c r="P8" i="28"/>
  <c r="AF7" i="28"/>
  <c r="X7" i="28"/>
  <c r="P7" i="28"/>
  <c r="AF6" i="28"/>
  <c r="X6" i="28"/>
  <c r="P6" i="28"/>
  <c r="AF5" i="28"/>
  <c r="X5" i="28"/>
  <c r="P5" i="28"/>
  <c r="AF4" i="28"/>
  <c r="X4" i="28"/>
  <c r="P4" i="28"/>
  <c r="AC24" i="28"/>
  <c r="Y24" i="28"/>
  <c r="U24" i="28"/>
  <c r="Q24" i="28"/>
  <c r="I24" i="28"/>
  <c r="AC23" i="28"/>
  <c r="Y23" i="28"/>
  <c r="U23" i="28"/>
  <c r="Q23" i="28"/>
  <c r="M23" i="28"/>
  <c r="I23" i="28"/>
  <c r="AC22" i="28"/>
  <c r="Y22" i="28"/>
  <c r="U22" i="28"/>
  <c r="Q22" i="28"/>
  <c r="M22" i="28"/>
  <c r="I22" i="28"/>
  <c r="AC21" i="28"/>
  <c r="Y21" i="28"/>
  <c r="U21" i="28"/>
  <c r="Q21" i="28"/>
  <c r="M21" i="28"/>
  <c r="I21" i="28"/>
  <c r="AC20" i="28"/>
  <c r="Y20" i="28"/>
  <c r="U20" i="28"/>
  <c r="Q20" i="28"/>
  <c r="M20" i="28"/>
  <c r="I20" i="28"/>
  <c r="AC19" i="28"/>
  <c r="Y19" i="28"/>
  <c r="U19" i="28"/>
  <c r="Q19" i="28"/>
  <c r="M19" i="28"/>
  <c r="I19" i="28"/>
  <c r="AC18" i="28"/>
  <c r="Y18" i="28"/>
  <c r="U18" i="28"/>
  <c r="Q18" i="28"/>
  <c r="M18" i="28"/>
  <c r="AD17" i="28"/>
  <c r="V17" i="28"/>
  <c r="N17" i="28"/>
  <c r="AD16" i="28"/>
  <c r="V16" i="28"/>
  <c r="N16" i="28"/>
  <c r="AD15" i="28"/>
  <c r="V15" i="28"/>
  <c r="N15" i="28"/>
  <c r="AD14" i="28"/>
  <c r="V14" i="28"/>
  <c r="N14" i="28"/>
  <c r="AD13" i="28"/>
  <c r="V13" i="28"/>
  <c r="N13" i="28"/>
  <c r="AD12" i="28"/>
  <c r="V12" i="28"/>
  <c r="N12" i="28"/>
  <c r="AD11" i="28"/>
  <c r="V11" i="28"/>
  <c r="N11" i="28"/>
  <c r="AD10" i="28"/>
  <c r="V10" i="28"/>
  <c r="N10" i="28"/>
  <c r="AD9" i="28"/>
  <c r="V9" i="28"/>
  <c r="N9" i="28"/>
  <c r="AD8" i="28"/>
  <c r="V8" i="28"/>
  <c r="N8" i="28"/>
  <c r="AD7" i="28"/>
  <c r="V7" i="28"/>
  <c r="N7" i="28"/>
  <c r="AD6" i="28"/>
  <c r="V6" i="28"/>
  <c r="N6" i="28"/>
  <c r="AD5" i="28"/>
  <c r="V5" i="28"/>
  <c r="N5" i="28"/>
  <c r="AD4" i="28"/>
  <c r="V4" i="28"/>
  <c r="N4" i="28"/>
  <c r="AF24" i="28"/>
  <c r="AB24" i="28"/>
  <c r="X24" i="28"/>
  <c r="T24" i="28"/>
  <c r="P24" i="28"/>
  <c r="AF23" i="28"/>
  <c r="AB23" i="28"/>
  <c r="X23" i="28"/>
  <c r="T23" i="28"/>
  <c r="P23" i="28"/>
  <c r="AF22" i="28"/>
  <c r="AB22" i="28"/>
  <c r="X22" i="28"/>
  <c r="T22" i="28"/>
  <c r="P22" i="28"/>
  <c r="AF21" i="28"/>
  <c r="AB21" i="28"/>
  <c r="X21" i="28"/>
  <c r="T21" i="28"/>
  <c r="P21" i="28"/>
  <c r="AF20" i="28"/>
  <c r="AB20" i="28"/>
  <c r="X20" i="28"/>
  <c r="T20" i="28"/>
  <c r="P20" i="28"/>
  <c r="AF19" i="28"/>
  <c r="AB19" i="28"/>
  <c r="X19" i="28"/>
  <c r="T19" i="28"/>
  <c r="P19" i="28"/>
  <c r="AF18" i="28"/>
  <c r="AB18" i="28"/>
  <c r="X18" i="28"/>
  <c r="T18" i="28"/>
  <c r="P18" i="28"/>
  <c r="L18" i="28"/>
  <c r="AB17" i="28"/>
  <c r="T17" i="28"/>
  <c r="L17" i="28"/>
  <c r="AB16" i="28"/>
  <c r="T16" i="28"/>
  <c r="L16" i="28"/>
  <c r="AB15" i="28"/>
  <c r="T15" i="28"/>
  <c r="L15" i="28"/>
  <c r="AB14" i="28"/>
  <c r="T14" i="28"/>
  <c r="L14" i="28"/>
  <c r="AB13" i="28"/>
  <c r="T13" i="28"/>
  <c r="L13" i="28"/>
  <c r="AB12" i="28"/>
  <c r="T12" i="28"/>
  <c r="L12" i="28"/>
  <c r="AB11" i="28"/>
  <c r="T11" i="28"/>
  <c r="L11" i="28"/>
  <c r="AB10" i="28"/>
  <c r="T10" i="28"/>
  <c r="L10" i="28"/>
  <c r="AB9" i="28"/>
  <c r="T9" i="28"/>
  <c r="L9" i="28"/>
  <c r="AB8" i="28"/>
  <c r="T8" i="28"/>
  <c r="L8" i="28"/>
  <c r="AB7" i="28"/>
  <c r="T7" i="28"/>
  <c r="L7" i="28"/>
  <c r="AB6" i="28"/>
  <c r="T6" i="28"/>
  <c r="L6" i="28"/>
  <c r="AB5" i="28"/>
  <c r="T5" i="28"/>
  <c r="L5" i="28"/>
  <c r="AB4" i="28"/>
  <c r="T4" i="28"/>
  <c r="L4" i="28"/>
  <c r="I3" i="28"/>
  <c r="AB3" i="28"/>
  <c r="T3" i="28"/>
  <c r="AE3" i="28"/>
  <c r="AA3" i="28"/>
  <c r="W3" i="28"/>
  <c r="S3" i="28"/>
  <c r="O3" i="28"/>
  <c r="K3" i="28"/>
  <c r="L3" i="28"/>
  <c r="AD3" i="28"/>
  <c r="Z3" i="28"/>
  <c r="V3" i="28"/>
  <c r="R3" i="28"/>
  <c r="N3" i="28"/>
  <c r="J3" i="28"/>
  <c r="AF3" i="28"/>
  <c r="X3" i="28"/>
  <c r="P3" i="28"/>
  <c r="AC3" i="28"/>
  <c r="Y3" i="28"/>
  <c r="U3" i="28"/>
  <c r="Q3" i="28"/>
  <c r="M3" i="28"/>
  <c r="M7" i="29" l="1"/>
  <c r="K7" i="29"/>
  <c r="L7" i="29"/>
  <c r="P27" i="29"/>
  <c r="P5" i="29"/>
  <c r="J7" i="29"/>
  <c r="O2" i="28"/>
  <c r="I2" i="28"/>
  <c r="M8" i="29" l="1"/>
  <c r="K8" i="29"/>
  <c r="L8" i="29"/>
  <c r="P28" i="29"/>
  <c r="P6" i="29"/>
  <c r="J8" i="29"/>
  <c r="H31" i="25"/>
  <c r="M9" i="29" l="1"/>
  <c r="K9" i="29"/>
  <c r="L9" i="29"/>
  <c r="P29" i="29"/>
  <c r="P7" i="29"/>
  <c r="J9" i="29"/>
  <c r="M10" i="29" l="1"/>
  <c r="K10" i="29"/>
  <c r="L10" i="29"/>
  <c r="P30" i="29"/>
  <c r="P8" i="29"/>
  <c r="J10" i="29"/>
  <c r="EG7" i="13"/>
  <c r="EG7" i="25"/>
  <c r="A199" i="23"/>
  <c r="R199" i="29" s="1"/>
  <c r="CU199" i="23" s="1"/>
  <c r="A198" i="23"/>
  <c r="R198" i="29" s="1"/>
  <c r="CU198" i="23" s="1"/>
  <c r="A197" i="23"/>
  <c r="R197" i="29" s="1"/>
  <c r="CU197" i="23" s="1"/>
  <c r="A196" i="23"/>
  <c r="R196" i="29" s="1"/>
  <c r="CU196" i="23" s="1"/>
  <c r="A195" i="23"/>
  <c r="R195" i="29" s="1"/>
  <c r="CU195" i="23" s="1"/>
  <c r="A194" i="23"/>
  <c r="R194" i="29" s="1"/>
  <c r="CU194" i="23" s="1"/>
  <c r="A193" i="23"/>
  <c r="R193" i="29" s="1"/>
  <c r="CU193" i="23" s="1"/>
  <c r="A192" i="23"/>
  <c r="R192" i="29" s="1"/>
  <c r="CU192" i="23" s="1"/>
  <c r="A191" i="23"/>
  <c r="R191" i="29" s="1"/>
  <c r="CU191" i="23" s="1"/>
  <c r="A190" i="23"/>
  <c r="R190" i="29" s="1"/>
  <c r="CU190" i="23" s="1"/>
  <c r="A189" i="23"/>
  <c r="R189" i="29" s="1"/>
  <c r="CU189" i="23" s="1"/>
  <c r="A188" i="23"/>
  <c r="R188" i="29" s="1"/>
  <c r="CU188" i="23" s="1"/>
  <c r="A187" i="23"/>
  <c r="R187" i="29" s="1"/>
  <c r="CU187" i="23" s="1"/>
  <c r="A186" i="23"/>
  <c r="R186" i="29" s="1"/>
  <c r="CU186" i="23" s="1"/>
  <c r="A185" i="23"/>
  <c r="R185" i="29" s="1"/>
  <c r="CU185" i="23" s="1"/>
  <c r="A184" i="23"/>
  <c r="R184" i="29" s="1"/>
  <c r="CU184" i="23" s="1"/>
  <c r="A183" i="23"/>
  <c r="R183" i="29" s="1"/>
  <c r="CU183" i="23" s="1"/>
  <c r="A182" i="23"/>
  <c r="R182" i="29" s="1"/>
  <c r="CU182" i="23" s="1"/>
  <c r="A181" i="23"/>
  <c r="R181" i="29" s="1"/>
  <c r="CU181" i="23" s="1"/>
  <c r="A180" i="23"/>
  <c r="R180" i="29" s="1"/>
  <c r="CU180" i="23" s="1"/>
  <c r="A179" i="23"/>
  <c r="R179" i="29" s="1"/>
  <c r="CU179" i="23" s="1"/>
  <c r="A178" i="23"/>
  <c r="R178" i="29" s="1"/>
  <c r="CU178" i="23" s="1"/>
  <c r="A177" i="23"/>
  <c r="R177" i="29" s="1"/>
  <c r="CU177" i="23" s="1"/>
  <c r="A176" i="23"/>
  <c r="R176" i="29" s="1"/>
  <c r="CU176" i="23" s="1"/>
  <c r="A175" i="23"/>
  <c r="R175" i="29" s="1"/>
  <c r="CU175" i="23" s="1"/>
  <c r="A174" i="23"/>
  <c r="R174" i="29" s="1"/>
  <c r="CU174" i="23" s="1"/>
  <c r="A173" i="23"/>
  <c r="R173" i="29" s="1"/>
  <c r="CU173" i="23" s="1"/>
  <c r="A172" i="23"/>
  <c r="R172" i="29" s="1"/>
  <c r="CU172" i="23" s="1"/>
  <c r="A171" i="23"/>
  <c r="R171" i="29" s="1"/>
  <c r="CU171" i="23" s="1"/>
  <c r="A170" i="23"/>
  <c r="R170" i="29" s="1"/>
  <c r="CU170" i="23" s="1"/>
  <c r="A169" i="23"/>
  <c r="R169" i="29" s="1"/>
  <c r="CU169" i="23" s="1"/>
  <c r="A168" i="23"/>
  <c r="R168" i="29" s="1"/>
  <c r="CU168" i="23" s="1"/>
  <c r="A167" i="23"/>
  <c r="R167" i="29" s="1"/>
  <c r="CU167" i="23" s="1"/>
  <c r="A166" i="23"/>
  <c r="R166" i="29" s="1"/>
  <c r="CU166" i="23" s="1"/>
  <c r="A165" i="23"/>
  <c r="R165" i="29" s="1"/>
  <c r="CU165" i="23" s="1"/>
  <c r="A164" i="23"/>
  <c r="R164" i="29" s="1"/>
  <c r="CU164" i="23" s="1"/>
  <c r="A163" i="23"/>
  <c r="R163" i="29" s="1"/>
  <c r="CU163" i="23" s="1"/>
  <c r="A162" i="23"/>
  <c r="R162" i="29" s="1"/>
  <c r="CU162" i="23" s="1"/>
  <c r="A161" i="23"/>
  <c r="R161" i="29" s="1"/>
  <c r="CU161" i="23" s="1"/>
  <c r="A160" i="23"/>
  <c r="R160" i="29" s="1"/>
  <c r="CU160" i="23" s="1"/>
  <c r="A159" i="23"/>
  <c r="R159" i="29" s="1"/>
  <c r="CU159" i="23" s="1"/>
  <c r="A158" i="23"/>
  <c r="R158" i="29" s="1"/>
  <c r="CU158" i="23" s="1"/>
  <c r="A157" i="23"/>
  <c r="R157" i="29" s="1"/>
  <c r="CU157" i="23" s="1"/>
  <c r="A156" i="23"/>
  <c r="R156" i="29" s="1"/>
  <c r="CU156" i="23" s="1"/>
  <c r="A155" i="23"/>
  <c r="R155" i="29" s="1"/>
  <c r="CU155" i="23" s="1"/>
  <c r="A154" i="23"/>
  <c r="R154" i="29" s="1"/>
  <c r="CU154" i="23" s="1"/>
  <c r="A153" i="23"/>
  <c r="R153" i="29" s="1"/>
  <c r="CU153" i="23" s="1"/>
  <c r="A152" i="23"/>
  <c r="R152" i="29" s="1"/>
  <c r="CU152" i="23" s="1"/>
  <c r="A151" i="23"/>
  <c r="R151" i="29" s="1"/>
  <c r="CU151" i="23" s="1"/>
  <c r="A150" i="23"/>
  <c r="R150" i="29" s="1"/>
  <c r="CU150" i="23" s="1"/>
  <c r="A149" i="23"/>
  <c r="R149" i="29" s="1"/>
  <c r="CU149" i="23" s="1"/>
  <c r="A148" i="23"/>
  <c r="R148" i="29" s="1"/>
  <c r="CU148" i="23" s="1"/>
  <c r="A147" i="23"/>
  <c r="R147" i="29" s="1"/>
  <c r="CU147" i="23" s="1"/>
  <c r="A146" i="23"/>
  <c r="R146" i="29" s="1"/>
  <c r="CU146" i="23" s="1"/>
  <c r="A145" i="23"/>
  <c r="R145" i="29" s="1"/>
  <c r="CU145" i="23" s="1"/>
  <c r="A144" i="23"/>
  <c r="R144" i="29" s="1"/>
  <c r="CU144" i="23" s="1"/>
  <c r="A143" i="23"/>
  <c r="R143" i="29" s="1"/>
  <c r="CU143" i="23" s="1"/>
  <c r="A142" i="23"/>
  <c r="R142" i="29" s="1"/>
  <c r="CU142" i="23" s="1"/>
  <c r="A141" i="23"/>
  <c r="R141" i="29" s="1"/>
  <c r="CU141" i="23" s="1"/>
  <c r="A140" i="23"/>
  <c r="R140" i="29" s="1"/>
  <c r="CU140" i="23" s="1"/>
  <c r="A139" i="23"/>
  <c r="R139" i="29" s="1"/>
  <c r="CU139" i="23" s="1"/>
  <c r="A138" i="23"/>
  <c r="R138" i="29" s="1"/>
  <c r="CU138" i="23" s="1"/>
  <c r="A137" i="23"/>
  <c r="R137" i="29" s="1"/>
  <c r="CU137" i="23" s="1"/>
  <c r="A136" i="23"/>
  <c r="R136" i="29" s="1"/>
  <c r="CU136" i="23" s="1"/>
  <c r="A135" i="23"/>
  <c r="R135" i="29" s="1"/>
  <c r="CU135" i="23" s="1"/>
  <c r="A134" i="23"/>
  <c r="R134" i="29" s="1"/>
  <c r="CU134" i="23" s="1"/>
  <c r="A133" i="23"/>
  <c r="R133" i="29" s="1"/>
  <c r="CU133" i="23" s="1"/>
  <c r="A132" i="23"/>
  <c r="R132" i="29" s="1"/>
  <c r="CU132" i="23" s="1"/>
  <c r="A131" i="23"/>
  <c r="R131" i="29" s="1"/>
  <c r="CU131" i="23" s="1"/>
  <c r="A130" i="23"/>
  <c r="R130" i="29" s="1"/>
  <c r="CU130" i="23" s="1"/>
  <c r="A129" i="23"/>
  <c r="R129" i="29" s="1"/>
  <c r="CU129" i="23" s="1"/>
  <c r="A128" i="23"/>
  <c r="R128" i="29" s="1"/>
  <c r="CU128" i="23" s="1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M11" i="29" l="1"/>
  <c r="K11" i="29"/>
  <c r="L11" i="29"/>
  <c r="P31" i="29"/>
  <c r="P9" i="29"/>
  <c r="J11" i="29"/>
  <c r="R20" i="29"/>
  <c r="CU20" i="23" s="1"/>
  <c r="R4" i="29"/>
  <c r="CU4" i="23" s="1"/>
  <c r="R12" i="29"/>
  <c r="CU12" i="23" s="1"/>
  <c r="R5" i="29"/>
  <c r="CU5" i="23" s="1"/>
  <c r="R9" i="29"/>
  <c r="CU9" i="23" s="1"/>
  <c r="R13" i="29"/>
  <c r="CU13" i="23" s="1"/>
  <c r="R17" i="29"/>
  <c r="CU17" i="23" s="1"/>
  <c r="R21" i="29"/>
  <c r="CU21" i="23" s="1"/>
  <c r="R8" i="29"/>
  <c r="CU8" i="23" s="1"/>
  <c r="R16" i="29"/>
  <c r="CU16" i="23" s="1"/>
  <c r="R6" i="29"/>
  <c r="CU6" i="23" s="1"/>
  <c r="R10" i="29"/>
  <c r="CU10" i="23" s="1"/>
  <c r="R14" i="29"/>
  <c r="CU14" i="23" s="1"/>
  <c r="R18" i="29"/>
  <c r="CU18" i="23" s="1"/>
  <c r="R3" i="29"/>
  <c r="CU3" i="23" s="1"/>
  <c r="R7" i="29"/>
  <c r="CU7" i="23" s="1"/>
  <c r="R11" i="29"/>
  <c r="CU11" i="23" s="1"/>
  <c r="R15" i="29"/>
  <c r="CU15" i="23" s="1"/>
  <c r="R19" i="29"/>
  <c r="CU19" i="23" s="1"/>
  <c r="J1" i="18"/>
  <c r="M12" i="29" l="1"/>
  <c r="K12" i="29"/>
  <c r="L12" i="29"/>
  <c r="P32" i="29"/>
  <c r="J12" i="29"/>
  <c r="P10" i="29"/>
  <c r="R22" i="29"/>
  <c r="CU22" i="23" s="1"/>
  <c r="H3" i="18"/>
  <c r="H4" i="18" s="1"/>
  <c r="H5" i="18" s="1"/>
  <c r="H6" i="18" s="1"/>
  <c r="H7" i="18" s="1"/>
  <c r="H8" i="18" s="1"/>
  <c r="H9" i="18" s="1"/>
  <c r="H10" i="18" s="1"/>
  <c r="H11" i="18" s="1"/>
  <c r="H12" i="18" s="1"/>
  <c r="H13" i="18" s="1"/>
  <c r="H14" i="18" s="1"/>
  <c r="H15" i="18" s="1"/>
  <c r="H16" i="18" s="1"/>
  <c r="H17" i="18" s="1"/>
  <c r="H18" i="18" s="1"/>
  <c r="H19" i="18" s="1"/>
  <c r="H20" i="18" s="1"/>
  <c r="H21" i="18" s="1"/>
  <c r="H22" i="18" s="1"/>
  <c r="H23" i="18" s="1"/>
  <c r="H24" i="18" s="1"/>
  <c r="H25" i="18" s="1"/>
  <c r="H26" i="18" s="1"/>
  <c r="H27" i="18" s="1"/>
  <c r="H28" i="18" s="1"/>
  <c r="H29" i="18" s="1"/>
  <c r="H30" i="18" s="1"/>
  <c r="H31" i="18" s="1"/>
  <c r="H32" i="18" s="1"/>
  <c r="H33" i="18" s="1"/>
  <c r="H34" i="18" s="1"/>
  <c r="H35" i="18" s="1"/>
  <c r="H36" i="18" s="1"/>
  <c r="H37" i="18" s="1"/>
  <c r="H38" i="18" s="1"/>
  <c r="H39" i="18" s="1"/>
  <c r="H40" i="18" s="1"/>
  <c r="H41" i="18" s="1"/>
  <c r="H42" i="18" s="1"/>
  <c r="H43" i="18" s="1"/>
  <c r="H44" i="18" s="1"/>
  <c r="H45" i="18" s="1"/>
  <c r="H46" i="18" s="1"/>
  <c r="H47" i="18" s="1"/>
  <c r="H48" i="18" s="1"/>
  <c r="H49" i="18" s="1"/>
  <c r="H50" i="18" s="1"/>
  <c r="H51" i="18" s="1"/>
  <c r="H52" i="18" s="1"/>
  <c r="H53" i="18" s="1"/>
  <c r="H54" i="18" s="1"/>
  <c r="H55" i="18" s="1"/>
  <c r="H56" i="18" s="1"/>
  <c r="H57" i="18" s="1"/>
  <c r="H58" i="18" s="1"/>
  <c r="H59" i="18" s="1"/>
  <c r="H60" i="18" s="1"/>
  <c r="H61" i="18" s="1"/>
  <c r="H62" i="18" s="1"/>
  <c r="H63" i="18" s="1"/>
  <c r="H64" i="18" s="1"/>
  <c r="H65" i="18" s="1"/>
  <c r="H66" i="18" s="1"/>
  <c r="H67" i="18" s="1"/>
  <c r="H68" i="18" s="1"/>
  <c r="H69" i="18" s="1"/>
  <c r="H70" i="18" s="1"/>
  <c r="H71" i="18" s="1"/>
  <c r="H72" i="18" s="1"/>
  <c r="H73" i="18" s="1"/>
  <c r="H74" i="18" s="1"/>
  <c r="H75" i="18" s="1"/>
  <c r="H76" i="18" s="1"/>
  <c r="H77" i="18" s="1"/>
  <c r="H78" i="18" s="1"/>
  <c r="H79" i="18" s="1"/>
  <c r="H80" i="18" s="1"/>
  <c r="H81" i="18" s="1"/>
  <c r="H82" i="18" s="1"/>
  <c r="H83" i="18" s="1"/>
  <c r="H84" i="18" s="1"/>
  <c r="H85" i="18" s="1"/>
  <c r="H86" i="18" s="1"/>
  <c r="H87" i="18" s="1"/>
  <c r="H88" i="18" s="1"/>
  <c r="H89" i="18" s="1"/>
  <c r="H90" i="18" s="1"/>
  <c r="H91" i="18" s="1"/>
  <c r="H92" i="18" s="1"/>
  <c r="H93" i="18" s="1"/>
  <c r="H94" i="18" s="1"/>
  <c r="H95" i="18" s="1"/>
  <c r="H96" i="18" s="1"/>
  <c r="H97" i="18" s="1"/>
  <c r="H98" i="18" s="1"/>
  <c r="H99" i="18" s="1"/>
  <c r="H100" i="18" s="1"/>
  <c r="H101" i="18" s="1"/>
  <c r="H102" i="18" s="1"/>
  <c r="H103" i="18" s="1"/>
  <c r="H104" i="18" s="1"/>
  <c r="H105" i="18" s="1"/>
  <c r="H106" i="18" s="1"/>
  <c r="H107" i="18" s="1"/>
  <c r="H108" i="18" s="1"/>
  <c r="H109" i="18" s="1"/>
  <c r="H110" i="18" s="1"/>
  <c r="H111" i="18" s="1"/>
  <c r="H112" i="18" s="1"/>
  <c r="H113" i="18" s="1"/>
  <c r="H114" i="18" s="1"/>
  <c r="H115" i="18" s="1"/>
  <c r="H116" i="18" s="1"/>
  <c r="H117" i="18" s="1"/>
  <c r="H118" i="18" s="1"/>
  <c r="H119" i="18" s="1"/>
  <c r="H120" i="18" s="1"/>
  <c r="H121" i="18" s="1"/>
  <c r="H122" i="18" s="1"/>
  <c r="H123" i="18" s="1"/>
  <c r="H124" i="18" s="1"/>
  <c r="H125" i="18" s="1"/>
  <c r="H126" i="18" s="1"/>
  <c r="H127" i="18" s="1"/>
  <c r="H128" i="18" s="1"/>
  <c r="H129" i="18" s="1"/>
  <c r="H130" i="18" s="1"/>
  <c r="H131" i="18" s="1"/>
  <c r="H132" i="18" s="1"/>
  <c r="H133" i="18" s="1"/>
  <c r="H134" i="18" s="1"/>
  <c r="H135" i="18" s="1"/>
  <c r="H136" i="18" s="1"/>
  <c r="H137" i="18" s="1"/>
  <c r="H138" i="18" s="1"/>
  <c r="H139" i="18" s="1"/>
  <c r="H140" i="18" s="1"/>
  <c r="H141" i="18" s="1"/>
  <c r="H142" i="18" s="1"/>
  <c r="H143" i="18" s="1"/>
  <c r="H144" i="18" s="1"/>
  <c r="H145" i="18" s="1"/>
  <c r="H146" i="18" s="1"/>
  <c r="H147" i="18" s="1"/>
  <c r="H148" i="18" s="1"/>
  <c r="H149" i="18" s="1"/>
  <c r="H150" i="18" s="1"/>
  <c r="H151" i="18" s="1"/>
  <c r="H152" i="18" s="1"/>
  <c r="H153" i="18" s="1"/>
  <c r="H154" i="18" s="1"/>
  <c r="H155" i="18" s="1"/>
  <c r="H156" i="18" s="1"/>
  <c r="H157" i="18" s="1"/>
  <c r="H158" i="18" s="1"/>
  <c r="H159" i="18" s="1"/>
  <c r="H160" i="18" s="1"/>
  <c r="H161" i="18" s="1"/>
  <c r="H162" i="18" s="1"/>
  <c r="H163" i="18" s="1"/>
  <c r="H164" i="18" s="1"/>
  <c r="H165" i="18" s="1"/>
  <c r="H166" i="18" s="1"/>
  <c r="H167" i="18" s="1"/>
  <c r="H168" i="18" s="1"/>
  <c r="H169" i="18" s="1"/>
  <c r="H170" i="18" s="1"/>
  <c r="H171" i="18" s="1"/>
  <c r="H172" i="18" s="1"/>
  <c r="H173" i="18" s="1"/>
  <c r="H174" i="18" s="1"/>
  <c r="H175" i="18" s="1"/>
  <c r="H176" i="18" s="1"/>
  <c r="H177" i="18" s="1"/>
  <c r="H178" i="18" s="1"/>
  <c r="H179" i="18" s="1"/>
  <c r="H180" i="18" s="1"/>
  <c r="H181" i="18" s="1"/>
  <c r="H182" i="18" s="1"/>
  <c r="H183" i="18" s="1"/>
  <c r="H184" i="18" s="1"/>
  <c r="H185" i="18" s="1"/>
  <c r="H186" i="18" s="1"/>
  <c r="H187" i="18" s="1"/>
  <c r="H188" i="18" s="1"/>
  <c r="H189" i="18" s="1"/>
  <c r="H190" i="18" s="1"/>
  <c r="H191" i="18" s="1"/>
  <c r="H192" i="18" s="1"/>
  <c r="H193" i="18" s="1"/>
  <c r="H194" i="18" s="1"/>
  <c r="H195" i="18" s="1"/>
  <c r="H196" i="18" s="1"/>
  <c r="H197" i="18" s="1"/>
  <c r="H198" i="18" s="1"/>
  <c r="H199" i="18" s="1"/>
  <c r="H200" i="18" s="1"/>
  <c r="K3" i="18"/>
  <c r="B2" i="20" s="1"/>
  <c r="M13" i="29" l="1"/>
  <c r="K13" i="29"/>
  <c r="L13" i="29"/>
  <c r="P33" i="29"/>
  <c r="P11" i="29"/>
  <c r="J13" i="29"/>
  <c r="R25" i="29"/>
  <c r="CU25" i="23" s="1"/>
  <c r="R24" i="29"/>
  <c r="CU24" i="23" s="1"/>
  <c r="R23" i="29"/>
  <c r="CU23" i="23" s="1"/>
  <c r="A2" i="20"/>
  <c r="Q2" i="29" s="1"/>
  <c r="CU2" i="20" s="1"/>
  <c r="A2" i="23"/>
  <c r="L3" i="18"/>
  <c r="N3" i="18"/>
  <c r="O3" i="18"/>
  <c r="J14" i="29" l="1"/>
  <c r="P12" i="29"/>
  <c r="M14" i="29"/>
  <c r="K14" i="29"/>
  <c r="L14" i="29"/>
  <c r="P34" i="29"/>
  <c r="J15" i="29"/>
  <c r="P13" i="29"/>
  <c r="R28" i="29"/>
  <c r="CU28" i="23" s="1"/>
  <c r="R26" i="29"/>
  <c r="CU26" i="23" s="1"/>
  <c r="R27" i="29"/>
  <c r="CU27" i="23" s="1"/>
  <c r="R2" i="29"/>
  <c r="CU2" i="23" s="1"/>
  <c r="M15" i="29" l="1"/>
  <c r="K15" i="29"/>
  <c r="L15" i="29"/>
  <c r="P35" i="29"/>
  <c r="J16" i="29"/>
  <c r="P14" i="29"/>
  <c r="R32" i="29"/>
  <c r="CU32" i="23" s="1"/>
  <c r="R31" i="29"/>
  <c r="CU31" i="23" s="1"/>
  <c r="R30" i="29"/>
  <c r="CU30" i="23" s="1"/>
  <c r="R29" i="29"/>
  <c r="CU29" i="23" s="1"/>
  <c r="C4" i="23"/>
  <c r="B4" i="23"/>
  <c r="E4" i="23"/>
  <c r="D5" i="23"/>
  <c r="B5" i="23"/>
  <c r="E5" i="23"/>
  <c r="CT6" i="23"/>
  <c r="B6" i="23"/>
  <c r="E6" i="23"/>
  <c r="CT7" i="23"/>
  <c r="B7" i="23"/>
  <c r="E7" i="23"/>
  <c r="CT8" i="23"/>
  <c r="B8" i="23"/>
  <c r="E8" i="23"/>
  <c r="CT9" i="23"/>
  <c r="B9" i="23"/>
  <c r="E9" i="23"/>
  <c r="CT10" i="23"/>
  <c r="B10" i="23"/>
  <c r="E10" i="23"/>
  <c r="CT11" i="23"/>
  <c r="B11" i="23"/>
  <c r="E11" i="23"/>
  <c r="CT12" i="23"/>
  <c r="B12" i="23"/>
  <c r="E12" i="23"/>
  <c r="B13" i="23"/>
  <c r="E13" i="23"/>
  <c r="CT14" i="23"/>
  <c r="B14" i="23"/>
  <c r="E14" i="23"/>
  <c r="CT15" i="23"/>
  <c r="B15" i="23"/>
  <c r="E15" i="23"/>
  <c r="CT16" i="23"/>
  <c r="B16" i="23"/>
  <c r="E16" i="23"/>
  <c r="F17" i="23"/>
  <c r="B17" i="23"/>
  <c r="E17" i="23"/>
  <c r="CT18" i="23"/>
  <c r="B18" i="23"/>
  <c r="E18" i="23"/>
  <c r="CT19" i="23"/>
  <c r="B19" i="23"/>
  <c r="E19" i="23"/>
  <c r="CT20" i="23"/>
  <c r="B20" i="23"/>
  <c r="E20" i="23"/>
  <c r="CT21" i="23"/>
  <c r="B21" i="23"/>
  <c r="E21" i="23"/>
  <c r="CT22" i="23"/>
  <c r="B22" i="23"/>
  <c r="E22" i="23"/>
  <c r="CT23" i="23"/>
  <c r="B23" i="23"/>
  <c r="E23" i="23"/>
  <c r="CT24" i="23"/>
  <c r="B24" i="23"/>
  <c r="E24" i="23"/>
  <c r="B25" i="23"/>
  <c r="E25" i="23"/>
  <c r="CT26" i="23"/>
  <c r="B26" i="23"/>
  <c r="E26" i="23"/>
  <c r="B27" i="23"/>
  <c r="E27" i="23"/>
  <c r="B28" i="23"/>
  <c r="E28" i="23"/>
  <c r="B29" i="23"/>
  <c r="E29" i="23"/>
  <c r="CT30" i="23"/>
  <c r="B30" i="23"/>
  <c r="E30" i="23"/>
  <c r="D31" i="23"/>
  <c r="B31" i="23"/>
  <c r="E31" i="23"/>
  <c r="CT31" i="23"/>
  <c r="B32" i="23"/>
  <c r="E32" i="23"/>
  <c r="B33" i="23"/>
  <c r="E33" i="23"/>
  <c r="CT34" i="23"/>
  <c r="B34" i="23"/>
  <c r="E34" i="23"/>
  <c r="D35" i="23"/>
  <c r="B35" i="23"/>
  <c r="E35" i="23"/>
  <c r="B36" i="23"/>
  <c r="E36" i="23"/>
  <c r="CT37" i="23"/>
  <c r="B37" i="23"/>
  <c r="E37" i="23"/>
  <c r="CT38" i="23"/>
  <c r="B38" i="23"/>
  <c r="E38" i="23"/>
  <c r="CT39" i="23"/>
  <c r="B39" i="23"/>
  <c r="E39" i="23"/>
  <c r="F39" i="23"/>
  <c r="B40" i="23"/>
  <c r="E40" i="23"/>
  <c r="B41" i="23"/>
  <c r="E41" i="23"/>
  <c r="CT42" i="23"/>
  <c r="B42" i="23"/>
  <c r="E42" i="23"/>
  <c r="F42" i="23"/>
  <c r="D43" i="23"/>
  <c r="B43" i="23"/>
  <c r="E43" i="23"/>
  <c r="CT44" i="23"/>
  <c r="B44" i="23"/>
  <c r="E44" i="23"/>
  <c r="D45" i="23"/>
  <c r="B45" i="23"/>
  <c r="E45" i="23"/>
  <c r="CT45" i="23"/>
  <c r="B46" i="23"/>
  <c r="E46" i="23"/>
  <c r="B47" i="23"/>
  <c r="E47" i="23"/>
  <c r="B48" i="23"/>
  <c r="E48" i="23"/>
  <c r="F49" i="23"/>
  <c r="B49" i="23"/>
  <c r="E49" i="23"/>
  <c r="F50" i="23"/>
  <c r="B50" i="23"/>
  <c r="E50" i="23"/>
  <c r="F51" i="23"/>
  <c r="B51" i="23"/>
  <c r="E51" i="23"/>
  <c r="F52" i="23"/>
  <c r="B52" i="23"/>
  <c r="E52" i="23"/>
  <c r="F53" i="23"/>
  <c r="B53" i="23"/>
  <c r="E53" i="23"/>
  <c r="F54" i="23"/>
  <c r="B54" i="23"/>
  <c r="E54" i="23"/>
  <c r="F55" i="23"/>
  <c r="B55" i="23"/>
  <c r="E55" i="23"/>
  <c r="F56" i="23"/>
  <c r="B56" i="23"/>
  <c r="E56" i="23"/>
  <c r="F57" i="23"/>
  <c r="B57" i="23"/>
  <c r="E57" i="23"/>
  <c r="F58" i="23"/>
  <c r="B58" i="23"/>
  <c r="E58" i="23"/>
  <c r="F59" i="23"/>
  <c r="B59" i="23"/>
  <c r="E59" i="23"/>
  <c r="F60" i="23"/>
  <c r="B60" i="23"/>
  <c r="E60" i="23"/>
  <c r="F61" i="23"/>
  <c r="B61" i="23"/>
  <c r="E61" i="23"/>
  <c r="F62" i="23"/>
  <c r="B62" i="23"/>
  <c r="E62" i="23"/>
  <c r="F63" i="23"/>
  <c r="B63" i="23"/>
  <c r="E63" i="23"/>
  <c r="F64" i="23"/>
  <c r="B64" i="23"/>
  <c r="E64" i="23"/>
  <c r="F65" i="23"/>
  <c r="B65" i="23"/>
  <c r="E65" i="23"/>
  <c r="B66" i="23"/>
  <c r="E66" i="23"/>
  <c r="B67" i="23"/>
  <c r="E67" i="23"/>
  <c r="F68" i="23"/>
  <c r="B68" i="23"/>
  <c r="E68" i="23"/>
  <c r="F69" i="23"/>
  <c r="B69" i="23"/>
  <c r="E69" i="23"/>
  <c r="F70" i="23"/>
  <c r="B70" i="23"/>
  <c r="E70" i="23"/>
  <c r="F71" i="23"/>
  <c r="B71" i="23"/>
  <c r="E71" i="23"/>
  <c r="G72" i="23"/>
  <c r="B72" i="23"/>
  <c r="E72" i="23"/>
  <c r="B73" i="23"/>
  <c r="E73" i="23"/>
  <c r="G74" i="23"/>
  <c r="B74" i="23"/>
  <c r="E74" i="23"/>
  <c r="F74" i="23"/>
  <c r="B75" i="23"/>
  <c r="E75" i="23"/>
  <c r="G76" i="23"/>
  <c r="B76" i="23"/>
  <c r="E76" i="23"/>
  <c r="F76" i="23"/>
  <c r="F77" i="23"/>
  <c r="B77" i="23"/>
  <c r="E77" i="23"/>
  <c r="G78" i="23"/>
  <c r="B78" i="23"/>
  <c r="E78" i="23"/>
  <c r="F78" i="23"/>
  <c r="F79" i="23"/>
  <c r="B79" i="23"/>
  <c r="E79" i="23"/>
  <c r="F80" i="23"/>
  <c r="B80" i="23"/>
  <c r="E80" i="23"/>
  <c r="B81" i="23"/>
  <c r="E81" i="23"/>
  <c r="B82" i="23"/>
  <c r="E82" i="23"/>
  <c r="B83" i="23"/>
  <c r="E83" i="23"/>
  <c r="B84" i="23"/>
  <c r="E84" i="23"/>
  <c r="B85" i="23"/>
  <c r="E85" i="23"/>
  <c r="B86" i="23"/>
  <c r="E86" i="23"/>
  <c r="B87" i="23"/>
  <c r="E87" i="23"/>
  <c r="B88" i="23"/>
  <c r="E88" i="23"/>
  <c r="B89" i="23"/>
  <c r="E89" i="23"/>
  <c r="B90" i="23"/>
  <c r="E90" i="23"/>
  <c r="B91" i="23"/>
  <c r="E91" i="23"/>
  <c r="B92" i="23"/>
  <c r="E92" i="23"/>
  <c r="B93" i="23"/>
  <c r="E93" i="23"/>
  <c r="B94" i="23"/>
  <c r="E94" i="23"/>
  <c r="B95" i="23"/>
  <c r="E95" i="23"/>
  <c r="B96" i="23"/>
  <c r="E96" i="23"/>
  <c r="B97" i="23"/>
  <c r="E97" i="23"/>
  <c r="B98" i="23"/>
  <c r="E98" i="23"/>
  <c r="B99" i="23"/>
  <c r="E99" i="23"/>
  <c r="B100" i="23"/>
  <c r="E100" i="23"/>
  <c r="B101" i="23"/>
  <c r="E101" i="23"/>
  <c r="B102" i="23"/>
  <c r="E102" i="23"/>
  <c r="B103" i="23"/>
  <c r="E103" i="23"/>
  <c r="B104" i="23"/>
  <c r="E104" i="23"/>
  <c r="B105" i="23"/>
  <c r="E105" i="23"/>
  <c r="B106" i="23"/>
  <c r="E106" i="23"/>
  <c r="B107" i="23"/>
  <c r="E107" i="23"/>
  <c r="B108" i="23"/>
  <c r="E108" i="23"/>
  <c r="B109" i="23"/>
  <c r="E109" i="23"/>
  <c r="B110" i="23"/>
  <c r="E110" i="23"/>
  <c r="B111" i="23"/>
  <c r="E111" i="23"/>
  <c r="B112" i="23"/>
  <c r="E112" i="23"/>
  <c r="B113" i="23"/>
  <c r="E113" i="23"/>
  <c r="B114" i="23"/>
  <c r="E114" i="23"/>
  <c r="B115" i="23"/>
  <c r="E115" i="23"/>
  <c r="B116" i="23"/>
  <c r="E116" i="23"/>
  <c r="B117" i="23"/>
  <c r="E117" i="23"/>
  <c r="B118" i="23"/>
  <c r="E118" i="23"/>
  <c r="B119" i="23"/>
  <c r="E119" i="23"/>
  <c r="B120" i="23"/>
  <c r="E120" i="23"/>
  <c r="B121" i="23"/>
  <c r="E121" i="23"/>
  <c r="B122" i="23"/>
  <c r="E122" i="23"/>
  <c r="B123" i="23"/>
  <c r="E123" i="23"/>
  <c r="B124" i="23"/>
  <c r="E124" i="23"/>
  <c r="B125" i="23"/>
  <c r="E125" i="23"/>
  <c r="B126" i="23"/>
  <c r="E126" i="23"/>
  <c r="B127" i="23"/>
  <c r="E127" i="23"/>
  <c r="CT128" i="23"/>
  <c r="B128" i="23"/>
  <c r="D128" i="23"/>
  <c r="E128" i="23"/>
  <c r="F128" i="23"/>
  <c r="B129" i="23"/>
  <c r="E129" i="23"/>
  <c r="CT130" i="23"/>
  <c r="B130" i="23"/>
  <c r="D130" i="23"/>
  <c r="E130" i="23"/>
  <c r="F130" i="23"/>
  <c r="F131" i="23"/>
  <c r="B131" i="23"/>
  <c r="E131" i="23"/>
  <c r="CT132" i="23"/>
  <c r="B132" i="23"/>
  <c r="E132" i="23"/>
  <c r="CT133" i="23"/>
  <c r="B133" i="23"/>
  <c r="E133" i="23"/>
  <c r="F134" i="23"/>
  <c r="B134" i="23"/>
  <c r="E134" i="23"/>
  <c r="F135" i="23"/>
  <c r="B135" i="23"/>
  <c r="E135" i="23"/>
  <c r="CT136" i="23"/>
  <c r="B136" i="23"/>
  <c r="E136" i="23"/>
  <c r="B137" i="23"/>
  <c r="E137" i="23"/>
  <c r="CT138" i="23"/>
  <c r="B138" i="23"/>
  <c r="E138" i="23"/>
  <c r="F139" i="23"/>
  <c r="B139" i="23"/>
  <c r="E139" i="23"/>
  <c r="B140" i="23"/>
  <c r="E140" i="23"/>
  <c r="B141" i="23"/>
  <c r="E141" i="23"/>
  <c r="F142" i="23"/>
  <c r="B142" i="23"/>
  <c r="E142" i="23"/>
  <c r="F143" i="23"/>
  <c r="B143" i="23"/>
  <c r="E143" i="23"/>
  <c r="B144" i="23"/>
  <c r="E144" i="23"/>
  <c r="B145" i="23"/>
  <c r="E145" i="23"/>
  <c r="B146" i="23"/>
  <c r="E146" i="23"/>
  <c r="F146" i="23"/>
  <c r="B147" i="23"/>
  <c r="E147" i="23"/>
  <c r="F147" i="23"/>
  <c r="CT147" i="23"/>
  <c r="B148" i="23"/>
  <c r="E148" i="23"/>
  <c r="B149" i="23"/>
  <c r="E149" i="23"/>
  <c r="CT149" i="23"/>
  <c r="CT150" i="23"/>
  <c r="B150" i="23"/>
  <c r="D150" i="23"/>
  <c r="E150" i="23"/>
  <c r="F150" i="23"/>
  <c r="F151" i="23"/>
  <c r="B151" i="23"/>
  <c r="E151" i="23"/>
  <c r="F152" i="23"/>
  <c r="B152" i="23"/>
  <c r="E152" i="23"/>
  <c r="F153" i="23"/>
  <c r="B153" i="23"/>
  <c r="E153" i="23"/>
  <c r="F154" i="23"/>
  <c r="B154" i="23"/>
  <c r="E154" i="23"/>
  <c r="F155" i="23"/>
  <c r="B155" i="23"/>
  <c r="E155" i="23"/>
  <c r="F156" i="23"/>
  <c r="B156" i="23"/>
  <c r="E156" i="23"/>
  <c r="F157" i="23"/>
  <c r="B157" i="23"/>
  <c r="E157" i="23"/>
  <c r="F158" i="23"/>
  <c r="B158" i="23"/>
  <c r="E158" i="23"/>
  <c r="F159" i="23"/>
  <c r="B159" i="23"/>
  <c r="E159" i="23"/>
  <c r="F160" i="23"/>
  <c r="B160" i="23"/>
  <c r="E160" i="23"/>
  <c r="F161" i="23"/>
  <c r="B161" i="23"/>
  <c r="E161" i="23"/>
  <c r="F162" i="23"/>
  <c r="B162" i="23"/>
  <c r="E162" i="23"/>
  <c r="F163" i="23"/>
  <c r="B163" i="23"/>
  <c r="E163" i="23"/>
  <c r="F164" i="23"/>
  <c r="B164" i="23"/>
  <c r="E164" i="23"/>
  <c r="B165" i="23"/>
  <c r="E165" i="23"/>
  <c r="B166" i="23"/>
  <c r="E166" i="23"/>
  <c r="B167" i="23"/>
  <c r="E167" i="23"/>
  <c r="F167" i="23"/>
  <c r="G168" i="23"/>
  <c r="B168" i="23"/>
  <c r="C168" i="23"/>
  <c r="E168" i="23"/>
  <c r="F168" i="23"/>
  <c r="B169" i="23"/>
  <c r="E169" i="23"/>
  <c r="G170" i="23"/>
  <c r="B170" i="23"/>
  <c r="C170" i="23"/>
  <c r="E170" i="23"/>
  <c r="F170" i="23"/>
  <c r="F171" i="23"/>
  <c r="B171" i="23"/>
  <c r="E171" i="23"/>
  <c r="F172" i="23"/>
  <c r="B172" i="23"/>
  <c r="E172" i="23"/>
  <c r="B173" i="23"/>
  <c r="E173" i="23"/>
  <c r="G174" i="23"/>
  <c r="B174" i="23"/>
  <c r="C174" i="23"/>
  <c r="E174" i="23"/>
  <c r="F174" i="23"/>
  <c r="F175" i="23"/>
  <c r="B175" i="23"/>
  <c r="E175" i="23"/>
  <c r="C176" i="23"/>
  <c r="B176" i="23"/>
  <c r="E176" i="23"/>
  <c r="G176" i="23"/>
  <c r="B177" i="23"/>
  <c r="E177" i="23"/>
  <c r="B178" i="23"/>
  <c r="E178" i="23"/>
  <c r="D179" i="23"/>
  <c r="B179" i="23"/>
  <c r="E179" i="23"/>
  <c r="CT179" i="23"/>
  <c r="D180" i="23"/>
  <c r="B180" i="23"/>
  <c r="E180" i="23"/>
  <c r="CT181" i="23"/>
  <c r="B181" i="23"/>
  <c r="E181" i="23"/>
  <c r="CT182" i="23"/>
  <c r="B182" i="23"/>
  <c r="E182" i="23"/>
  <c r="D183" i="23"/>
  <c r="B183" i="23"/>
  <c r="E183" i="23"/>
  <c r="CT183" i="23"/>
  <c r="B184" i="23"/>
  <c r="D184" i="23"/>
  <c r="E184" i="23"/>
  <c r="CT184" i="23"/>
  <c r="B185" i="23"/>
  <c r="E185" i="23"/>
  <c r="B186" i="23"/>
  <c r="E186" i="23"/>
  <c r="D187" i="23"/>
  <c r="B187" i="23"/>
  <c r="E187" i="23"/>
  <c r="D188" i="23"/>
  <c r="B188" i="23"/>
  <c r="E188" i="23"/>
  <c r="CT189" i="23"/>
  <c r="B189" i="23"/>
  <c r="E189" i="23"/>
  <c r="CT190" i="23"/>
  <c r="B190" i="23"/>
  <c r="E190" i="23"/>
  <c r="B191" i="23"/>
  <c r="D191" i="23"/>
  <c r="E191" i="23"/>
  <c r="CT191" i="23"/>
  <c r="D192" i="23"/>
  <c r="B192" i="23"/>
  <c r="E192" i="23"/>
  <c r="B193" i="23"/>
  <c r="E193" i="23"/>
  <c r="B194" i="23"/>
  <c r="E194" i="23"/>
  <c r="D195" i="23"/>
  <c r="B195" i="23"/>
  <c r="E195" i="23"/>
  <c r="CT195" i="23"/>
  <c r="D196" i="23"/>
  <c r="B196" i="23"/>
  <c r="E196" i="23"/>
  <c r="CT196" i="23"/>
  <c r="CT197" i="23"/>
  <c r="B197" i="23"/>
  <c r="E197" i="23"/>
  <c r="CT198" i="23"/>
  <c r="B198" i="23"/>
  <c r="E198" i="23"/>
  <c r="B199" i="23"/>
  <c r="E199" i="23"/>
  <c r="A4" i="20"/>
  <c r="Q4" i="29" s="1"/>
  <c r="CU4" i="20" s="1"/>
  <c r="B4" i="20"/>
  <c r="E4" i="20"/>
  <c r="A5" i="20"/>
  <c r="Q5" i="29" s="1"/>
  <c r="CU5" i="20" s="1"/>
  <c r="B5" i="20"/>
  <c r="E5" i="20"/>
  <c r="A6" i="20"/>
  <c r="Q6" i="29" s="1"/>
  <c r="CU6" i="20" s="1"/>
  <c r="B6" i="20"/>
  <c r="E6" i="20"/>
  <c r="A7" i="20"/>
  <c r="Q7" i="29" s="1"/>
  <c r="CU7" i="20" s="1"/>
  <c r="B7" i="20"/>
  <c r="E7" i="20"/>
  <c r="A8" i="20"/>
  <c r="Q8" i="29" s="1"/>
  <c r="CU8" i="20" s="1"/>
  <c r="B8" i="20"/>
  <c r="E8" i="20"/>
  <c r="A9" i="20"/>
  <c r="Q9" i="29" s="1"/>
  <c r="CU9" i="20" s="1"/>
  <c r="B9" i="20"/>
  <c r="E9" i="20"/>
  <c r="A10" i="20"/>
  <c r="B10" i="20"/>
  <c r="E10" i="20"/>
  <c r="A11" i="20"/>
  <c r="B11" i="20"/>
  <c r="E11" i="20"/>
  <c r="A12" i="20"/>
  <c r="Q12" i="29" s="1"/>
  <c r="CU12" i="20" s="1"/>
  <c r="B12" i="20"/>
  <c r="A13" i="20"/>
  <c r="Q13" i="29" s="1"/>
  <c r="CU13" i="20" s="1"/>
  <c r="B13" i="20"/>
  <c r="E13" i="20"/>
  <c r="A14" i="20"/>
  <c r="Q14" i="29" s="1"/>
  <c r="CU14" i="20" s="1"/>
  <c r="B14" i="20"/>
  <c r="E14" i="20"/>
  <c r="A15" i="20"/>
  <c r="Q15" i="29" s="1"/>
  <c r="CU15" i="20" s="1"/>
  <c r="B15" i="20"/>
  <c r="E15" i="20"/>
  <c r="A16" i="20"/>
  <c r="Q16" i="29" s="1"/>
  <c r="CU16" i="20" s="1"/>
  <c r="B16" i="20"/>
  <c r="E16" i="20"/>
  <c r="A17" i="20"/>
  <c r="Q17" i="29" s="1"/>
  <c r="CU17" i="20" s="1"/>
  <c r="B17" i="20"/>
  <c r="E17" i="20"/>
  <c r="A18" i="20"/>
  <c r="Q18" i="29" s="1"/>
  <c r="CU18" i="20" s="1"/>
  <c r="B18" i="20"/>
  <c r="E18" i="20"/>
  <c r="A19" i="20"/>
  <c r="B19" i="20"/>
  <c r="E19" i="20"/>
  <c r="A20" i="20"/>
  <c r="Q20" i="29" s="1"/>
  <c r="CU20" i="20" s="1"/>
  <c r="B20" i="20"/>
  <c r="E20" i="20"/>
  <c r="A21" i="20"/>
  <c r="Q21" i="29" s="1"/>
  <c r="CU21" i="20" s="1"/>
  <c r="B21" i="20"/>
  <c r="E21" i="20"/>
  <c r="A22" i="20"/>
  <c r="Q22" i="29" s="1"/>
  <c r="CU22" i="20" s="1"/>
  <c r="B22" i="20"/>
  <c r="E22" i="20"/>
  <c r="A23" i="20"/>
  <c r="Q23" i="29" s="1"/>
  <c r="CU23" i="20" s="1"/>
  <c r="B23" i="20"/>
  <c r="E23" i="20"/>
  <c r="A24" i="20"/>
  <c r="B24" i="20"/>
  <c r="E24" i="20"/>
  <c r="A25" i="20"/>
  <c r="Q25" i="29" s="1"/>
  <c r="CU25" i="20" s="1"/>
  <c r="B25" i="20"/>
  <c r="E25" i="20"/>
  <c r="A26" i="20"/>
  <c r="Q26" i="29" s="1"/>
  <c r="CU26" i="20" s="1"/>
  <c r="B26" i="20"/>
  <c r="E26" i="20"/>
  <c r="A27" i="20"/>
  <c r="Q27" i="29" s="1"/>
  <c r="CU27" i="20" s="1"/>
  <c r="B27" i="20"/>
  <c r="E27" i="20"/>
  <c r="A28" i="20"/>
  <c r="Q28" i="29" s="1"/>
  <c r="CU28" i="20" s="1"/>
  <c r="B28" i="20"/>
  <c r="E28" i="20"/>
  <c r="A29" i="20"/>
  <c r="B29" i="20"/>
  <c r="E29" i="20"/>
  <c r="A30" i="20"/>
  <c r="B30" i="20"/>
  <c r="E30" i="20"/>
  <c r="A31" i="20"/>
  <c r="Q31" i="29" s="1"/>
  <c r="CU31" i="20" s="1"/>
  <c r="B31" i="20"/>
  <c r="E31" i="20"/>
  <c r="A32" i="20"/>
  <c r="B32" i="20"/>
  <c r="E32" i="20"/>
  <c r="A33" i="20"/>
  <c r="B33" i="20"/>
  <c r="E33" i="20"/>
  <c r="A34" i="20"/>
  <c r="B34" i="20"/>
  <c r="E34" i="20"/>
  <c r="A35" i="20"/>
  <c r="B35" i="20"/>
  <c r="E35" i="20"/>
  <c r="A36" i="20"/>
  <c r="B36" i="20"/>
  <c r="E36" i="20"/>
  <c r="A37" i="20"/>
  <c r="B37" i="20"/>
  <c r="E37" i="20"/>
  <c r="A38" i="20"/>
  <c r="B38" i="20"/>
  <c r="E38" i="20"/>
  <c r="A39" i="20"/>
  <c r="B39" i="20"/>
  <c r="E39" i="20"/>
  <c r="A40" i="20"/>
  <c r="B40" i="20"/>
  <c r="E40" i="20"/>
  <c r="A41" i="20"/>
  <c r="B41" i="20"/>
  <c r="E41" i="20"/>
  <c r="A42" i="20"/>
  <c r="B42" i="20"/>
  <c r="E42" i="20"/>
  <c r="A43" i="20"/>
  <c r="B43" i="20"/>
  <c r="E43" i="20"/>
  <c r="A44" i="20"/>
  <c r="B44" i="20"/>
  <c r="E44" i="20"/>
  <c r="A45" i="20"/>
  <c r="B45" i="20"/>
  <c r="E45" i="20"/>
  <c r="A46" i="20"/>
  <c r="B46" i="20"/>
  <c r="E46" i="20"/>
  <c r="A47" i="20"/>
  <c r="B47" i="20"/>
  <c r="E47" i="20"/>
  <c r="A48" i="20"/>
  <c r="B48" i="20"/>
  <c r="E48" i="20"/>
  <c r="A49" i="20"/>
  <c r="B49" i="20"/>
  <c r="E49" i="20"/>
  <c r="A50" i="20"/>
  <c r="B50" i="20"/>
  <c r="E50" i="20"/>
  <c r="A51" i="20"/>
  <c r="B51" i="20"/>
  <c r="E51" i="20"/>
  <c r="A52" i="20"/>
  <c r="B52" i="20"/>
  <c r="E52" i="20"/>
  <c r="A53" i="20"/>
  <c r="B53" i="20"/>
  <c r="E53" i="20"/>
  <c r="A54" i="20"/>
  <c r="B54" i="20"/>
  <c r="E54" i="20"/>
  <c r="A55" i="20"/>
  <c r="B55" i="20"/>
  <c r="E55" i="20"/>
  <c r="A56" i="20"/>
  <c r="B56" i="20"/>
  <c r="E56" i="20"/>
  <c r="A57" i="20"/>
  <c r="B57" i="20"/>
  <c r="E57" i="20"/>
  <c r="A58" i="20"/>
  <c r="B58" i="20"/>
  <c r="E58" i="20"/>
  <c r="A59" i="20"/>
  <c r="B59" i="20"/>
  <c r="E59" i="20"/>
  <c r="A60" i="20"/>
  <c r="B60" i="20"/>
  <c r="E60" i="20"/>
  <c r="A61" i="20"/>
  <c r="B61" i="20"/>
  <c r="E61" i="20"/>
  <c r="A62" i="20"/>
  <c r="B62" i="20"/>
  <c r="E62" i="20"/>
  <c r="A63" i="20"/>
  <c r="B63" i="20"/>
  <c r="E63" i="20"/>
  <c r="A64" i="20"/>
  <c r="B64" i="20"/>
  <c r="E64" i="20"/>
  <c r="A65" i="20"/>
  <c r="B65" i="20"/>
  <c r="E65" i="20"/>
  <c r="A66" i="20"/>
  <c r="B66" i="20"/>
  <c r="E66" i="20"/>
  <c r="A67" i="20"/>
  <c r="B67" i="20"/>
  <c r="E67" i="20"/>
  <c r="A68" i="20"/>
  <c r="B68" i="20"/>
  <c r="E68" i="20"/>
  <c r="A69" i="20"/>
  <c r="B69" i="20"/>
  <c r="E69" i="20"/>
  <c r="A70" i="20"/>
  <c r="B70" i="20"/>
  <c r="E70" i="20"/>
  <c r="A71" i="20"/>
  <c r="B71" i="20"/>
  <c r="E71" i="20"/>
  <c r="A72" i="20"/>
  <c r="B72" i="20"/>
  <c r="E72" i="20"/>
  <c r="A73" i="20"/>
  <c r="B73" i="20"/>
  <c r="E73" i="20"/>
  <c r="A74" i="20"/>
  <c r="B74" i="20"/>
  <c r="E74" i="20"/>
  <c r="A75" i="20"/>
  <c r="B75" i="20"/>
  <c r="E75" i="20"/>
  <c r="A76" i="20"/>
  <c r="B76" i="20"/>
  <c r="E76" i="20"/>
  <c r="A77" i="20"/>
  <c r="B77" i="20"/>
  <c r="E77" i="20"/>
  <c r="A78" i="20"/>
  <c r="B78" i="20"/>
  <c r="E78" i="20"/>
  <c r="A79" i="20"/>
  <c r="B79" i="20"/>
  <c r="E79" i="20"/>
  <c r="A80" i="20"/>
  <c r="B80" i="20"/>
  <c r="E80" i="20"/>
  <c r="B81" i="20"/>
  <c r="E81" i="20"/>
  <c r="B82" i="20"/>
  <c r="E82" i="20"/>
  <c r="B83" i="20"/>
  <c r="E83" i="20"/>
  <c r="B84" i="20"/>
  <c r="E84" i="20"/>
  <c r="B85" i="20"/>
  <c r="E85" i="20"/>
  <c r="B86" i="20"/>
  <c r="E86" i="20"/>
  <c r="B87" i="20"/>
  <c r="E87" i="20"/>
  <c r="B88" i="20"/>
  <c r="E88" i="20"/>
  <c r="B89" i="20"/>
  <c r="E89" i="20"/>
  <c r="B90" i="20"/>
  <c r="E90" i="20"/>
  <c r="B91" i="20"/>
  <c r="E91" i="20"/>
  <c r="B92" i="20"/>
  <c r="E92" i="20"/>
  <c r="B93" i="20"/>
  <c r="E93" i="20"/>
  <c r="B94" i="20"/>
  <c r="E94" i="20"/>
  <c r="B95" i="20"/>
  <c r="E95" i="20"/>
  <c r="B96" i="20"/>
  <c r="E96" i="20"/>
  <c r="B97" i="20"/>
  <c r="E97" i="20"/>
  <c r="B98" i="20"/>
  <c r="E98" i="20"/>
  <c r="B99" i="20"/>
  <c r="E99" i="20"/>
  <c r="B100" i="20"/>
  <c r="E100" i="20"/>
  <c r="B101" i="20"/>
  <c r="E101" i="20"/>
  <c r="B102" i="20"/>
  <c r="E102" i="20"/>
  <c r="B103" i="20"/>
  <c r="E103" i="20"/>
  <c r="B104" i="20"/>
  <c r="E104" i="20"/>
  <c r="B105" i="20"/>
  <c r="E105" i="20"/>
  <c r="B106" i="20"/>
  <c r="E106" i="20"/>
  <c r="B107" i="20"/>
  <c r="E107" i="20"/>
  <c r="B108" i="20"/>
  <c r="E108" i="20"/>
  <c r="B109" i="20"/>
  <c r="E109" i="20"/>
  <c r="B110" i="20"/>
  <c r="E110" i="20"/>
  <c r="B111" i="20"/>
  <c r="E111" i="20"/>
  <c r="B112" i="20"/>
  <c r="E112" i="20"/>
  <c r="B113" i="20"/>
  <c r="E113" i="20"/>
  <c r="B114" i="20"/>
  <c r="E114" i="20"/>
  <c r="B115" i="20"/>
  <c r="E115" i="20"/>
  <c r="B116" i="20"/>
  <c r="E116" i="20"/>
  <c r="B117" i="20"/>
  <c r="E117" i="20"/>
  <c r="B118" i="20"/>
  <c r="E118" i="20"/>
  <c r="B119" i="20"/>
  <c r="E119" i="20"/>
  <c r="B120" i="20"/>
  <c r="E120" i="20"/>
  <c r="B121" i="20"/>
  <c r="E121" i="20"/>
  <c r="B122" i="20"/>
  <c r="E122" i="20"/>
  <c r="B123" i="20"/>
  <c r="E123" i="20"/>
  <c r="B124" i="20"/>
  <c r="E124" i="20"/>
  <c r="B125" i="20"/>
  <c r="E125" i="20"/>
  <c r="B126" i="20"/>
  <c r="E126" i="20"/>
  <c r="B127" i="20"/>
  <c r="E127" i="20"/>
  <c r="A128" i="20"/>
  <c r="Q128" i="29" s="1"/>
  <c r="CU128" i="20" s="1"/>
  <c r="B128" i="20"/>
  <c r="E128" i="20"/>
  <c r="A129" i="20"/>
  <c r="Q129" i="29" s="1"/>
  <c r="CU129" i="20" s="1"/>
  <c r="B129" i="20"/>
  <c r="E129" i="20"/>
  <c r="A130" i="20"/>
  <c r="Q130" i="29" s="1"/>
  <c r="CU130" i="20" s="1"/>
  <c r="B130" i="20"/>
  <c r="E130" i="20"/>
  <c r="A131" i="20"/>
  <c r="Q131" i="29" s="1"/>
  <c r="CU131" i="20" s="1"/>
  <c r="B131" i="20"/>
  <c r="E131" i="20"/>
  <c r="A132" i="20"/>
  <c r="Q132" i="29" s="1"/>
  <c r="CU132" i="20" s="1"/>
  <c r="B132" i="20"/>
  <c r="E132" i="20"/>
  <c r="A133" i="20"/>
  <c r="Q133" i="29" s="1"/>
  <c r="CU133" i="20" s="1"/>
  <c r="B133" i="20"/>
  <c r="E133" i="20"/>
  <c r="A134" i="20"/>
  <c r="Q134" i="29" s="1"/>
  <c r="CU134" i="20" s="1"/>
  <c r="B134" i="20"/>
  <c r="E134" i="20"/>
  <c r="A135" i="20"/>
  <c r="Q135" i="29" s="1"/>
  <c r="CU135" i="20" s="1"/>
  <c r="B135" i="20"/>
  <c r="E135" i="20"/>
  <c r="A136" i="20"/>
  <c r="Q136" i="29" s="1"/>
  <c r="CU136" i="20" s="1"/>
  <c r="B136" i="20"/>
  <c r="E136" i="20"/>
  <c r="A137" i="20"/>
  <c r="Q137" i="29" s="1"/>
  <c r="CU137" i="20" s="1"/>
  <c r="B137" i="20"/>
  <c r="E137" i="20"/>
  <c r="A138" i="20"/>
  <c r="Q138" i="29" s="1"/>
  <c r="CU138" i="20" s="1"/>
  <c r="B138" i="20"/>
  <c r="E138" i="20"/>
  <c r="A139" i="20"/>
  <c r="Q139" i="29" s="1"/>
  <c r="CU139" i="20" s="1"/>
  <c r="B139" i="20"/>
  <c r="E139" i="20"/>
  <c r="A140" i="20"/>
  <c r="Q140" i="29" s="1"/>
  <c r="CU140" i="20" s="1"/>
  <c r="B140" i="20"/>
  <c r="E140" i="20"/>
  <c r="A141" i="20"/>
  <c r="Q141" i="29" s="1"/>
  <c r="CU141" i="20" s="1"/>
  <c r="B141" i="20"/>
  <c r="E141" i="20"/>
  <c r="A142" i="20"/>
  <c r="Q142" i="29" s="1"/>
  <c r="CU142" i="20" s="1"/>
  <c r="B142" i="20"/>
  <c r="E142" i="20"/>
  <c r="A143" i="20"/>
  <c r="Q143" i="29" s="1"/>
  <c r="CU143" i="20" s="1"/>
  <c r="B143" i="20"/>
  <c r="E143" i="20"/>
  <c r="A144" i="20"/>
  <c r="Q144" i="29" s="1"/>
  <c r="CU144" i="20" s="1"/>
  <c r="B144" i="20"/>
  <c r="E144" i="20"/>
  <c r="A145" i="20"/>
  <c r="Q145" i="29" s="1"/>
  <c r="CU145" i="20" s="1"/>
  <c r="B145" i="20"/>
  <c r="E145" i="20"/>
  <c r="A146" i="20"/>
  <c r="Q146" i="29" s="1"/>
  <c r="CU146" i="20" s="1"/>
  <c r="B146" i="20"/>
  <c r="E146" i="20"/>
  <c r="A147" i="20"/>
  <c r="Q147" i="29" s="1"/>
  <c r="CU147" i="20" s="1"/>
  <c r="B147" i="20"/>
  <c r="E147" i="20"/>
  <c r="A148" i="20"/>
  <c r="Q148" i="29" s="1"/>
  <c r="CU148" i="20" s="1"/>
  <c r="B148" i="20"/>
  <c r="E148" i="20"/>
  <c r="A149" i="20"/>
  <c r="Q149" i="29" s="1"/>
  <c r="CU149" i="20" s="1"/>
  <c r="B149" i="20"/>
  <c r="E149" i="20"/>
  <c r="A150" i="20"/>
  <c r="Q150" i="29" s="1"/>
  <c r="CU150" i="20" s="1"/>
  <c r="B150" i="20"/>
  <c r="E150" i="20"/>
  <c r="A151" i="20"/>
  <c r="Q151" i="29" s="1"/>
  <c r="CU151" i="20" s="1"/>
  <c r="B151" i="20"/>
  <c r="E151" i="20"/>
  <c r="A152" i="20"/>
  <c r="Q152" i="29" s="1"/>
  <c r="CU152" i="20" s="1"/>
  <c r="B152" i="20"/>
  <c r="E152" i="20"/>
  <c r="A153" i="20"/>
  <c r="Q153" i="29" s="1"/>
  <c r="CU153" i="20" s="1"/>
  <c r="B153" i="20"/>
  <c r="E153" i="20"/>
  <c r="A154" i="20"/>
  <c r="Q154" i="29" s="1"/>
  <c r="CU154" i="20" s="1"/>
  <c r="B154" i="20"/>
  <c r="E154" i="20"/>
  <c r="A155" i="20"/>
  <c r="Q155" i="29" s="1"/>
  <c r="CU155" i="20" s="1"/>
  <c r="B155" i="20"/>
  <c r="E155" i="20"/>
  <c r="A156" i="20"/>
  <c r="Q156" i="29" s="1"/>
  <c r="CU156" i="20" s="1"/>
  <c r="B156" i="20"/>
  <c r="E156" i="20"/>
  <c r="A157" i="20"/>
  <c r="Q157" i="29" s="1"/>
  <c r="CU157" i="20" s="1"/>
  <c r="B157" i="20"/>
  <c r="E157" i="20"/>
  <c r="A158" i="20"/>
  <c r="Q158" i="29" s="1"/>
  <c r="CU158" i="20" s="1"/>
  <c r="B158" i="20"/>
  <c r="E158" i="20"/>
  <c r="A159" i="20"/>
  <c r="Q159" i="29" s="1"/>
  <c r="CU159" i="20" s="1"/>
  <c r="B159" i="20"/>
  <c r="E159" i="20"/>
  <c r="A160" i="20"/>
  <c r="Q160" i="29" s="1"/>
  <c r="CU160" i="20" s="1"/>
  <c r="B160" i="20"/>
  <c r="E160" i="20"/>
  <c r="A161" i="20"/>
  <c r="Q161" i="29" s="1"/>
  <c r="CU161" i="20" s="1"/>
  <c r="B161" i="20"/>
  <c r="E161" i="20"/>
  <c r="A162" i="20"/>
  <c r="Q162" i="29" s="1"/>
  <c r="CU162" i="20" s="1"/>
  <c r="B162" i="20"/>
  <c r="E162" i="20"/>
  <c r="A163" i="20"/>
  <c r="Q163" i="29" s="1"/>
  <c r="CU163" i="20" s="1"/>
  <c r="B163" i="20"/>
  <c r="E163" i="20"/>
  <c r="A164" i="20"/>
  <c r="Q164" i="29" s="1"/>
  <c r="CU164" i="20" s="1"/>
  <c r="B164" i="20"/>
  <c r="E164" i="20"/>
  <c r="A165" i="20"/>
  <c r="Q165" i="29" s="1"/>
  <c r="CU165" i="20" s="1"/>
  <c r="B165" i="20"/>
  <c r="E165" i="20"/>
  <c r="A166" i="20"/>
  <c r="Q166" i="29" s="1"/>
  <c r="CU166" i="20" s="1"/>
  <c r="B166" i="20"/>
  <c r="E166" i="20"/>
  <c r="A167" i="20"/>
  <c r="Q167" i="29" s="1"/>
  <c r="CU167" i="20" s="1"/>
  <c r="B167" i="20"/>
  <c r="E167" i="20"/>
  <c r="A168" i="20"/>
  <c r="Q168" i="29" s="1"/>
  <c r="CU168" i="20" s="1"/>
  <c r="B168" i="20"/>
  <c r="E168" i="20"/>
  <c r="A169" i="20"/>
  <c r="Q169" i="29" s="1"/>
  <c r="CU169" i="20" s="1"/>
  <c r="B169" i="20"/>
  <c r="E169" i="20"/>
  <c r="A170" i="20"/>
  <c r="Q170" i="29" s="1"/>
  <c r="CU170" i="20" s="1"/>
  <c r="B170" i="20"/>
  <c r="E170" i="20"/>
  <c r="A171" i="20"/>
  <c r="Q171" i="29" s="1"/>
  <c r="CU171" i="20" s="1"/>
  <c r="B171" i="20"/>
  <c r="E171" i="20"/>
  <c r="A172" i="20"/>
  <c r="Q172" i="29" s="1"/>
  <c r="CU172" i="20" s="1"/>
  <c r="B172" i="20"/>
  <c r="E172" i="20"/>
  <c r="A173" i="20"/>
  <c r="Q173" i="29" s="1"/>
  <c r="CU173" i="20" s="1"/>
  <c r="B173" i="20"/>
  <c r="E173" i="20"/>
  <c r="A174" i="20"/>
  <c r="Q174" i="29" s="1"/>
  <c r="CU174" i="20" s="1"/>
  <c r="B174" i="20"/>
  <c r="E174" i="20"/>
  <c r="A175" i="20"/>
  <c r="Q175" i="29" s="1"/>
  <c r="CU175" i="20" s="1"/>
  <c r="B175" i="20"/>
  <c r="E175" i="20"/>
  <c r="A176" i="20"/>
  <c r="Q176" i="29" s="1"/>
  <c r="CU176" i="20" s="1"/>
  <c r="B176" i="20"/>
  <c r="E176" i="20"/>
  <c r="A177" i="20"/>
  <c r="Q177" i="29" s="1"/>
  <c r="CU177" i="20" s="1"/>
  <c r="B177" i="20"/>
  <c r="E177" i="20"/>
  <c r="A178" i="20"/>
  <c r="Q178" i="29" s="1"/>
  <c r="CU178" i="20" s="1"/>
  <c r="B178" i="20"/>
  <c r="E178" i="20"/>
  <c r="A179" i="20"/>
  <c r="Q179" i="29" s="1"/>
  <c r="CU179" i="20" s="1"/>
  <c r="B179" i="20"/>
  <c r="E179" i="20"/>
  <c r="A180" i="20"/>
  <c r="Q180" i="29" s="1"/>
  <c r="CU180" i="20" s="1"/>
  <c r="B180" i="20"/>
  <c r="E180" i="20"/>
  <c r="A181" i="20"/>
  <c r="Q181" i="29" s="1"/>
  <c r="CU181" i="20" s="1"/>
  <c r="B181" i="20"/>
  <c r="E181" i="20"/>
  <c r="A182" i="20"/>
  <c r="Q182" i="29" s="1"/>
  <c r="CU182" i="20" s="1"/>
  <c r="B182" i="20"/>
  <c r="E182" i="20"/>
  <c r="A183" i="20"/>
  <c r="Q183" i="29" s="1"/>
  <c r="CU183" i="20" s="1"/>
  <c r="B183" i="20"/>
  <c r="E183" i="20"/>
  <c r="A184" i="20"/>
  <c r="Q184" i="29" s="1"/>
  <c r="CU184" i="20" s="1"/>
  <c r="B184" i="20"/>
  <c r="E184" i="20"/>
  <c r="A185" i="20"/>
  <c r="Q185" i="29" s="1"/>
  <c r="CU185" i="20" s="1"/>
  <c r="B185" i="20"/>
  <c r="E185" i="20"/>
  <c r="A186" i="20"/>
  <c r="Q186" i="29" s="1"/>
  <c r="CU186" i="20" s="1"/>
  <c r="B186" i="20"/>
  <c r="E186" i="20"/>
  <c r="A187" i="20"/>
  <c r="Q187" i="29" s="1"/>
  <c r="CU187" i="20" s="1"/>
  <c r="B187" i="20"/>
  <c r="E187" i="20"/>
  <c r="A188" i="20"/>
  <c r="Q188" i="29" s="1"/>
  <c r="CU188" i="20" s="1"/>
  <c r="B188" i="20"/>
  <c r="E188" i="20"/>
  <c r="A189" i="20"/>
  <c r="Q189" i="29" s="1"/>
  <c r="CU189" i="20" s="1"/>
  <c r="B189" i="20"/>
  <c r="E189" i="20"/>
  <c r="A190" i="20"/>
  <c r="Q190" i="29" s="1"/>
  <c r="CU190" i="20" s="1"/>
  <c r="B190" i="20"/>
  <c r="E190" i="20"/>
  <c r="A191" i="20"/>
  <c r="Q191" i="29" s="1"/>
  <c r="CU191" i="20" s="1"/>
  <c r="B191" i="20"/>
  <c r="E191" i="20"/>
  <c r="A192" i="20"/>
  <c r="Q192" i="29" s="1"/>
  <c r="CU192" i="20" s="1"/>
  <c r="B192" i="20"/>
  <c r="E192" i="20"/>
  <c r="A193" i="20"/>
  <c r="Q193" i="29" s="1"/>
  <c r="CU193" i="20" s="1"/>
  <c r="B193" i="20"/>
  <c r="E193" i="20"/>
  <c r="A194" i="20"/>
  <c r="Q194" i="29" s="1"/>
  <c r="CU194" i="20" s="1"/>
  <c r="B194" i="20"/>
  <c r="E194" i="20"/>
  <c r="A195" i="20"/>
  <c r="Q195" i="29" s="1"/>
  <c r="CU195" i="20" s="1"/>
  <c r="B195" i="20"/>
  <c r="E195" i="20"/>
  <c r="A196" i="20"/>
  <c r="Q196" i="29" s="1"/>
  <c r="CU196" i="20" s="1"/>
  <c r="B196" i="20"/>
  <c r="E196" i="20"/>
  <c r="A197" i="20"/>
  <c r="Q197" i="29" s="1"/>
  <c r="CU197" i="20" s="1"/>
  <c r="B197" i="20"/>
  <c r="E197" i="20"/>
  <c r="A198" i="20"/>
  <c r="Q198" i="29" s="1"/>
  <c r="CU198" i="20" s="1"/>
  <c r="B198" i="20"/>
  <c r="E198" i="20"/>
  <c r="A199" i="20"/>
  <c r="Q199" i="29" s="1"/>
  <c r="CU199" i="20" s="1"/>
  <c r="B199" i="20"/>
  <c r="E199" i="20"/>
  <c r="B2" i="23"/>
  <c r="E2" i="20"/>
  <c r="M16" i="29" l="1"/>
  <c r="K16" i="29"/>
  <c r="L16" i="29"/>
  <c r="P36" i="29"/>
  <c r="J17" i="29"/>
  <c r="P15" i="29"/>
  <c r="Q34" i="29"/>
  <c r="CU34" i="20" s="1"/>
  <c r="R33" i="29"/>
  <c r="CU33" i="23" s="1"/>
  <c r="R36" i="29"/>
  <c r="CU36" i="23" s="1"/>
  <c r="R35" i="29"/>
  <c r="CU35" i="23" s="1"/>
  <c r="R34" i="29"/>
  <c r="CU34" i="23" s="1"/>
  <c r="Q35" i="29"/>
  <c r="CU35" i="20" s="1"/>
  <c r="Q37" i="29"/>
  <c r="CU37" i="20" s="1"/>
  <c r="Q30" i="29"/>
  <c r="CU30" i="20" s="1"/>
  <c r="Q10" i="29"/>
  <c r="CU10" i="20" s="1"/>
  <c r="Q29" i="29"/>
  <c r="CU29" i="20" s="1"/>
  <c r="Q19" i="29"/>
  <c r="CU19" i="20" s="1"/>
  <c r="Q11" i="29"/>
  <c r="CU11" i="20" s="1"/>
  <c r="Q33" i="29"/>
  <c r="CU33" i="20" s="1"/>
  <c r="Q36" i="29"/>
  <c r="CU36" i="20" s="1"/>
  <c r="Q32" i="29"/>
  <c r="CU32" i="20" s="1"/>
  <c r="Q24" i="29"/>
  <c r="CU24" i="20" s="1"/>
  <c r="G196" i="20"/>
  <c r="F184" i="20"/>
  <c r="D180" i="20"/>
  <c r="D176" i="20"/>
  <c r="D172" i="20"/>
  <c r="CT164" i="20"/>
  <c r="F160" i="20"/>
  <c r="CT156" i="20"/>
  <c r="F152" i="20"/>
  <c r="F144" i="20"/>
  <c r="CT140" i="20"/>
  <c r="CT136" i="20"/>
  <c r="F128" i="20"/>
  <c r="D76" i="20"/>
  <c r="D72" i="20"/>
  <c r="D60" i="20"/>
  <c r="D56" i="20"/>
  <c r="D52" i="20"/>
  <c r="D44" i="20"/>
  <c r="D40" i="20"/>
  <c r="D28" i="20"/>
  <c r="F20" i="20"/>
  <c r="F16" i="20"/>
  <c r="F12" i="20"/>
  <c r="F8" i="20"/>
  <c r="F4" i="20"/>
  <c r="D197" i="20"/>
  <c r="F189" i="20"/>
  <c r="F185" i="20"/>
  <c r="F181" i="20"/>
  <c r="F177" i="20"/>
  <c r="F173" i="20"/>
  <c r="F169" i="20"/>
  <c r="F165" i="20"/>
  <c r="D153" i="20"/>
  <c r="D149" i="20"/>
  <c r="F145" i="20"/>
  <c r="D137" i="20"/>
  <c r="G73" i="20"/>
  <c r="G57" i="20"/>
  <c r="G53" i="20"/>
  <c r="G41" i="20"/>
  <c r="G37" i="20"/>
  <c r="F25" i="20"/>
  <c r="F21" i="20"/>
  <c r="F17" i="20"/>
  <c r="F13" i="20"/>
  <c r="F9" i="20"/>
  <c r="F5" i="20"/>
  <c r="D198" i="20"/>
  <c r="CT178" i="20"/>
  <c r="CT174" i="20"/>
  <c r="D170" i="20"/>
  <c r="CT166" i="20"/>
  <c r="F162" i="20"/>
  <c r="CT158" i="20"/>
  <c r="CT154" i="20"/>
  <c r="CT150" i="20"/>
  <c r="F146" i="20"/>
  <c r="CT142" i="20"/>
  <c r="CT134" i="20"/>
  <c r="F130" i="20"/>
  <c r="F74" i="20"/>
  <c r="G70" i="20"/>
  <c r="F66" i="20"/>
  <c r="F62" i="20"/>
  <c r="F58" i="20"/>
  <c r="F54" i="20"/>
  <c r="F50" i="20"/>
  <c r="F46" i="20"/>
  <c r="F42" i="20"/>
  <c r="F38" i="20"/>
  <c r="F34" i="20"/>
  <c r="F26" i="20"/>
  <c r="F22" i="20"/>
  <c r="F18" i="20"/>
  <c r="F14" i="20"/>
  <c r="F6" i="20"/>
  <c r="D195" i="20"/>
  <c r="F191" i="20"/>
  <c r="F187" i="20"/>
  <c r="CT179" i="20"/>
  <c r="CT175" i="20"/>
  <c r="F171" i="20"/>
  <c r="CT167" i="20"/>
  <c r="F163" i="20"/>
  <c r="F159" i="20"/>
  <c r="F147" i="20"/>
  <c r="D143" i="20"/>
  <c r="CT139" i="20"/>
  <c r="F135" i="20"/>
  <c r="D131" i="20"/>
  <c r="F75" i="20"/>
  <c r="F71" i="20"/>
  <c r="F67" i="20"/>
  <c r="F55" i="20"/>
  <c r="F47" i="20"/>
  <c r="F43" i="20"/>
  <c r="F35" i="20"/>
  <c r="F31" i="20"/>
  <c r="F27" i="20"/>
  <c r="F23" i="20"/>
  <c r="F15" i="20"/>
  <c r="F7" i="20"/>
  <c r="G23" i="20"/>
  <c r="C23" i="20"/>
  <c r="CT149" i="20"/>
  <c r="F139" i="20"/>
  <c r="CT137" i="20"/>
  <c r="CT75" i="20"/>
  <c r="F149" i="20"/>
  <c r="F137" i="20"/>
  <c r="CT67" i="20"/>
  <c r="D139" i="20"/>
  <c r="G55" i="20"/>
  <c r="G50" i="20"/>
  <c r="G75" i="20"/>
  <c r="CT55" i="20"/>
  <c r="G67" i="20"/>
  <c r="CT23" i="20"/>
  <c r="F195" i="20"/>
  <c r="CT177" i="20"/>
  <c r="CT172" i="20"/>
  <c r="CT171" i="20"/>
  <c r="G47" i="20"/>
  <c r="G198" i="20"/>
  <c r="F198" i="20"/>
  <c r="G197" i="20"/>
  <c r="F174" i="20"/>
  <c r="CT31" i="20"/>
  <c r="G62" i="20"/>
  <c r="C67" i="20"/>
  <c r="C55" i="20"/>
  <c r="F167" i="20"/>
  <c r="G189" i="20"/>
  <c r="CT180" i="20"/>
  <c r="CT173" i="20"/>
  <c r="CT162" i="20"/>
  <c r="CT143" i="20"/>
  <c r="CT71" i="20"/>
  <c r="G35" i="20"/>
  <c r="CT34" i="20"/>
  <c r="D178" i="20"/>
  <c r="D174" i="20"/>
  <c r="F172" i="20"/>
  <c r="D167" i="20"/>
  <c r="F178" i="20"/>
  <c r="F197" i="20"/>
  <c r="G43" i="20"/>
  <c r="CT42" i="20"/>
  <c r="C197" i="20"/>
  <c r="C195" i="20"/>
  <c r="CT144" i="20"/>
  <c r="D161" i="20"/>
  <c r="CT161" i="20"/>
  <c r="CT153" i="20"/>
  <c r="F143" i="20"/>
  <c r="G74" i="20"/>
  <c r="C62" i="20"/>
  <c r="G58" i="20"/>
  <c r="C50" i="20"/>
  <c r="D47" i="20"/>
  <c r="CT46" i="20"/>
  <c r="C35" i="20"/>
  <c r="G34" i="20"/>
  <c r="C31" i="20"/>
  <c r="CT139" i="23"/>
  <c r="F138" i="23"/>
  <c r="CT43" i="23"/>
  <c r="F5" i="23"/>
  <c r="CT4" i="23"/>
  <c r="CT131" i="20"/>
  <c r="CT130" i="20"/>
  <c r="C75" i="20"/>
  <c r="G66" i="20"/>
  <c r="G54" i="20"/>
  <c r="CT47" i="20"/>
  <c r="C47" i="20"/>
  <c r="CT35" i="20"/>
  <c r="G38" i="20"/>
  <c r="CT188" i="23"/>
  <c r="CT143" i="23"/>
  <c r="F136" i="23"/>
  <c r="CT135" i="23"/>
  <c r="F72" i="23"/>
  <c r="CT35" i="23"/>
  <c r="F34" i="23"/>
  <c r="D193" i="20"/>
  <c r="F193" i="20"/>
  <c r="G193" i="20"/>
  <c r="D194" i="20"/>
  <c r="F194" i="20"/>
  <c r="G194" i="20"/>
  <c r="D187" i="20"/>
  <c r="C187" i="20"/>
  <c r="D189" i="20"/>
  <c r="C189" i="20"/>
  <c r="D192" i="20"/>
  <c r="G192" i="20"/>
  <c r="CT184" i="20"/>
  <c r="D184" i="20"/>
  <c r="F165" i="23"/>
  <c r="G165" i="23"/>
  <c r="F66" i="23"/>
  <c r="G66" i="23"/>
  <c r="G46" i="20"/>
  <c r="D199" i="23"/>
  <c r="CT199" i="23"/>
  <c r="C166" i="23"/>
  <c r="F166" i="23"/>
  <c r="F180" i="20"/>
  <c r="F153" i="20"/>
  <c r="C74" i="20"/>
  <c r="C66" i="20"/>
  <c r="C58" i="20"/>
  <c r="C54" i="20"/>
  <c r="D43" i="20"/>
  <c r="G166" i="23"/>
  <c r="CT144" i="23"/>
  <c r="D144" i="23"/>
  <c r="D75" i="20"/>
  <c r="CT74" i="20"/>
  <c r="C71" i="20"/>
  <c r="D67" i="20"/>
  <c r="CT66" i="20"/>
  <c r="D55" i="20"/>
  <c r="CT54" i="20"/>
  <c r="CT43" i="20"/>
  <c r="C43" i="20"/>
  <c r="G42" i="20"/>
  <c r="C38" i="20"/>
  <c r="D35" i="20"/>
  <c r="CT146" i="23"/>
  <c r="D146" i="23"/>
  <c r="F144" i="23"/>
  <c r="D138" i="23"/>
  <c r="D136" i="23"/>
  <c r="C78" i="23"/>
  <c r="C76" i="23"/>
  <c r="C74" i="23"/>
  <c r="C72" i="23"/>
  <c r="F43" i="23"/>
  <c r="D39" i="23"/>
  <c r="F31" i="23"/>
  <c r="F30" i="23"/>
  <c r="F35" i="23"/>
  <c r="CT192" i="23"/>
  <c r="CT180" i="23"/>
  <c r="F176" i="23"/>
  <c r="F132" i="23"/>
  <c r="CT131" i="23"/>
  <c r="F45" i="23"/>
  <c r="F44" i="23"/>
  <c r="F30" i="20"/>
  <c r="CT30" i="20"/>
  <c r="C30" i="20"/>
  <c r="CT140" i="23"/>
  <c r="D140" i="23"/>
  <c r="F140" i="23"/>
  <c r="D196" i="20"/>
  <c r="F196" i="20"/>
  <c r="CT152" i="20"/>
  <c r="CT145" i="20"/>
  <c r="D145" i="20"/>
  <c r="CT135" i="20"/>
  <c r="D135" i="20"/>
  <c r="F59" i="20"/>
  <c r="G59" i="20"/>
  <c r="C59" i="20"/>
  <c r="CT59" i="20"/>
  <c r="D59" i="20"/>
  <c r="G30" i="20"/>
  <c r="D199" i="20"/>
  <c r="G199" i="20"/>
  <c r="C199" i="20"/>
  <c r="CT157" i="20"/>
  <c r="D157" i="20"/>
  <c r="F39" i="20"/>
  <c r="G39" i="20"/>
  <c r="C39" i="20"/>
  <c r="CT39" i="20"/>
  <c r="D39" i="20"/>
  <c r="D191" i="20"/>
  <c r="G191" i="20"/>
  <c r="C191" i="20"/>
  <c r="CT163" i="20"/>
  <c r="D163" i="20"/>
  <c r="F199" i="20"/>
  <c r="F157" i="20"/>
  <c r="D151" i="20"/>
  <c r="CT151" i="20"/>
  <c r="F79" i="20"/>
  <c r="G79" i="20"/>
  <c r="C79" i="20"/>
  <c r="CT79" i="20"/>
  <c r="D79" i="20"/>
  <c r="F70" i="20"/>
  <c r="CT70" i="20"/>
  <c r="C70" i="20"/>
  <c r="F63" i="20"/>
  <c r="G63" i="20"/>
  <c r="C63" i="20"/>
  <c r="CT63" i="20"/>
  <c r="D63" i="20"/>
  <c r="F51" i="20"/>
  <c r="G51" i="20"/>
  <c r="C51" i="20"/>
  <c r="CT51" i="20"/>
  <c r="D51" i="20"/>
  <c r="G195" i="20"/>
  <c r="G187" i="20"/>
  <c r="G71" i="20"/>
  <c r="CT62" i="20"/>
  <c r="CT58" i="20"/>
  <c r="CT50" i="20"/>
  <c r="CT38" i="20"/>
  <c r="G31" i="20"/>
  <c r="CT40" i="23"/>
  <c r="F40" i="23"/>
  <c r="G178" i="23"/>
  <c r="C178" i="23"/>
  <c r="F178" i="23"/>
  <c r="C193" i="20"/>
  <c r="F192" i="20"/>
  <c r="CT170" i="20"/>
  <c r="CT169" i="20"/>
  <c r="F161" i="20"/>
  <c r="CT160" i="20"/>
  <c r="D71" i="20"/>
  <c r="C46" i="20"/>
  <c r="C42" i="20"/>
  <c r="C34" i="20"/>
  <c r="D31" i="20"/>
  <c r="G172" i="23"/>
  <c r="C172" i="23"/>
  <c r="CT142" i="23"/>
  <c r="D142" i="23"/>
  <c r="D41" i="23"/>
  <c r="F41" i="23"/>
  <c r="CT28" i="23"/>
  <c r="F28" i="23"/>
  <c r="CT148" i="23"/>
  <c r="D148" i="23"/>
  <c r="CT41" i="23"/>
  <c r="D29" i="23"/>
  <c r="F29" i="23"/>
  <c r="CT187" i="23"/>
  <c r="F148" i="23"/>
  <c r="CT134" i="23"/>
  <c r="D134" i="23"/>
  <c r="C46" i="23"/>
  <c r="F46" i="23"/>
  <c r="CT29" i="23"/>
  <c r="D132" i="23"/>
  <c r="F38" i="23"/>
  <c r="D186" i="20"/>
  <c r="G186" i="20"/>
  <c r="C186" i="20"/>
  <c r="CT155" i="20"/>
  <c r="D155" i="20"/>
  <c r="CT141" i="20"/>
  <c r="D141" i="20"/>
  <c r="F69" i="20"/>
  <c r="C69" i="20"/>
  <c r="CT69" i="20"/>
  <c r="D69" i="20"/>
  <c r="F36" i="20"/>
  <c r="G36" i="20"/>
  <c r="C36" i="20"/>
  <c r="CT36" i="20"/>
  <c r="F19" i="20"/>
  <c r="D19" i="20"/>
  <c r="F186" i="20"/>
  <c r="G185" i="20"/>
  <c r="CT182" i="20"/>
  <c r="D182" i="20"/>
  <c r="F179" i="20"/>
  <c r="F176" i="20"/>
  <c r="F155" i="20"/>
  <c r="F151" i="20"/>
  <c r="CT146" i="20"/>
  <c r="F141" i="20"/>
  <c r="F136" i="20"/>
  <c r="CT133" i="20"/>
  <c r="D133" i="20"/>
  <c r="CT129" i="20"/>
  <c r="D129" i="20"/>
  <c r="F80" i="20"/>
  <c r="CT80" i="20"/>
  <c r="C80" i="20"/>
  <c r="G69" i="20"/>
  <c r="F65" i="20"/>
  <c r="C65" i="20"/>
  <c r="CT65" i="20"/>
  <c r="D65" i="20"/>
  <c r="F64" i="20"/>
  <c r="G64" i="20"/>
  <c r="C64" i="20"/>
  <c r="CT64" i="20"/>
  <c r="F49" i="20"/>
  <c r="C49" i="20"/>
  <c r="CT49" i="20"/>
  <c r="D49" i="20"/>
  <c r="F48" i="20"/>
  <c r="G48" i="20"/>
  <c r="C48" i="20"/>
  <c r="CT48" i="20"/>
  <c r="F33" i="20"/>
  <c r="C33" i="20"/>
  <c r="CT33" i="20"/>
  <c r="D33" i="20"/>
  <c r="F32" i="20"/>
  <c r="G32" i="20"/>
  <c r="C32" i="20"/>
  <c r="CT32" i="20"/>
  <c r="G18" i="20"/>
  <c r="G17" i="20"/>
  <c r="G15" i="20"/>
  <c r="G14" i="20"/>
  <c r="F194" i="23"/>
  <c r="C194" i="23"/>
  <c r="G194" i="23"/>
  <c r="D194" i="23"/>
  <c r="CT194" i="23"/>
  <c r="D169" i="23"/>
  <c r="CT169" i="23"/>
  <c r="G169" i="23"/>
  <c r="C169" i="23"/>
  <c r="F169" i="23"/>
  <c r="C137" i="23"/>
  <c r="G137" i="23"/>
  <c r="D137" i="23"/>
  <c r="F137" i="23"/>
  <c r="CT137" i="23"/>
  <c r="CT32" i="23"/>
  <c r="F32" i="23"/>
  <c r="CT25" i="23"/>
  <c r="D25" i="23"/>
  <c r="F25" i="23"/>
  <c r="D190" i="20"/>
  <c r="G190" i="20"/>
  <c r="F68" i="20"/>
  <c r="G68" i="20"/>
  <c r="C68" i="20"/>
  <c r="CT68" i="20"/>
  <c r="F53" i="20"/>
  <c r="C53" i="20"/>
  <c r="CT53" i="20"/>
  <c r="D53" i="20"/>
  <c r="CT15" i="20"/>
  <c r="F193" i="23"/>
  <c r="C193" i="23"/>
  <c r="G193" i="23"/>
  <c r="D193" i="23"/>
  <c r="CT193" i="23"/>
  <c r="C190" i="20"/>
  <c r="D188" i="20"/>
  <c r="G188" i="20"/>
  <c r="C188" i="20"/>
  <c r="F182" i="20"/>
  <c r="CT181" i="20"/>
  <c r="CT168" i="20"/>
  <c r="D168" i="20"/>
  <c r="F133" i="20"/>
  <c r="F131" i="20"/>
  <c r="F129" i="20"/>
  <c r="CT128" i="20"/>
  <c r="F76" i="20"/>
  <c r="G76" i="20"/>
  <c r="C76" i="20"/>
  <c r="CT76" i="20"/>
  <c r="D68" i="20"/>
  <c r="G65" i="20"/>
  <c r="F61" i="20"/>
  <c r="C61" i="20"/>
  <c r="CT61" i="20"/>
  <c r="D61" i="20"/>
  <c r="F60" i="20"/>
  <c r="G60" i="20"/>
  <c r="C60" i="20"/>
  <c r="CT60" i="20"/>
  <c r="G49" i="20"/>
  <c r="F45" i="20"/>
  <c r="C45" i="20"/>
  <c r="CT45" i="20"/>
  <c r="D45" i="20"/>
  <c r="F44" i="20"/>
  <c r="G44" i="20"/>
  <c r="C44" i="20"/>
  <c r="CT44" i="20"/>
  <c r="D36" i="20"/>
  <c r="G33" i="20"/>
  <c r="F29" i="20"/>
  <c r="C29" i="20"/>
  <c r="CT29" i="20"/>
  <c r="D29" i="20"/>
  <c r="F28" i="20"/>
  <c r="G28" i="20"/>
  <c r="C28" i="20"/>
  <c r="CT28" i="20"/>
  <c r="F24" i="20"/>
  <c r="D24" i="20"/>
  <c r="F11" i="20"/>
  <c r="CT11" i="20"/>
  <c r="C11" i="20"/>
  <c r="F10" i="20"/>
  <c r="G10" i="20"/>
  <c r="F185" i="23"/>
  <c r="C185" i="23"/>
  <c r="G185" i="23"/>
  <c r="D185" i="23"/>
  <c r="CT185" i="23"/>
  <c r="D173" i="23"/>
  <c r="CT173" i="23"/>
  <c r="G173" i="23"/>
  <c r="C173" i="23"/>
  <c r="F173" i="23"/>
  <c r="F190" i="20"/>
  <c r="CT176" i="20"/>
  <c r="CT147" i="20"/>
  <c r="D147" i="20"/>
  <c r="F52" i="20"/>
  <c r="G52" i="20"/>
  <c r="C52" i="20"/>
  <c r="CT52" i="20"/>
  <c r="F37" i="20"/>
  <c r="C37" i="20"/>
  <c r="CT37" i="20"/>
  <c r="D37" i="20"/>
  <c r="C198" i="20"/>
  <c r="C196" i="20"/>
  <c r="C194" i="20"/>
  <c r="C192" i="20"/>
  <c r="F188" i="20"/>
  <c r="F170" i="20"/>
  <c r="F168" i="20"/>
  <c r="CT165" i="20"/>
  <c r="D165" i="20"/>
  <c r="CT159" i="20"/>
  <c r="D159" i="20"/>
  <c r="D80" i="20"/>
  <c r="F73" i="20"/>
  <c r="C73" i="20"/>
  <c r="CT73" i="20"/>
  <c r="D73" i="20"/>
  <c r="F72" i="20"/>
  <c r="G72" i="20"/>
  <c r="C72" i="20"/>
  <c r="CT72" i="20"/>
  <c r="D64" i="20"/>
  <c r="G61" i="20"/>
  <c r="F57" i="20"/>
  <c r="C57" i="20"/>
  <c r="CT57" i="20"/>
  <c r="D57" i="20"/>
  <c r="F56" i="20"/>
  <c r="G56" i="20"/>
  <c r="C56" i="20"/>
  <c r="CT56" i="20"/>
  <c r="D48" i="20"/>
  <c r="G45" i="20"/>
  <c r="F41" i="20"/>
  <c r="C41" i="20"/>
  <c r="CT41" i="20"/>
  <c r="D41" i="20"/>
  <c r="F40" i="20"/>
  <c r="G40" i="20"/>
  <c r="C40" i="20"/>
  <c r="CT40" i="20"/>
  <c r="D32" i="20"/>
  <c r="G29" i="20"/>
  <c r="G11" i="20"/>
  <c r="CT10" i="20"/>
  <c r="F186" i="23"/>
  <c r="C186" i="23"/>
  <c r="G186" i="23"/>
  <c r="D186" i="23"/>
  <c r="CT186" i="23"/>
  <c r="D177" i="23"/>
  <c r="CT177" i="23"/>
  <c r="G177" i="23"/>
  <c r="C177" i="23"/>
  <c r="F177" i="23"/>
  <c r="C141" i="23"/>
  <c r="G141" i="23"/>
  <c r="D141" i="23"/>
  <c r="F141" i="23"/>
  <c r="CT141" i="23"/>
  <c r="D74" i="20"/>
  <c r="D70" i="20"/>
  <c r="D66" i="20"/>
  <c r="D62" i="20"/>
  <c r="D58" i="20"/>
  <c r="D54" i="20"/>
  <c r="D50" i="20"/>
  <c r="D46" i="20"/>
  <c r="D42" i="20"/>
  <c r="D38" i="20"/>
  <c r="D34" i="20"/>
  <c r="D30" i="20"/>
  <c r="CT6" i="20"/>
  <c r="G5" i="20"/>
  <c r="F198" i="23"/>
  <c r="C198" i="23"/>
  <c r="G198" i="23"/>
  <c r="D198" i="23"/>
  <c r="F197" i="23"/>
  <c r="C197" i="23"/>
  <c r="G197" i="23"/>
  <c r="D197" i="23"/>
  <c r="F190" i="23"/>
  <c r="C190" i="23"/>
  <c r="G190" i="23"/>
  <c r="D190" i="23"/>
  <c r="F189" i="23"/>
  <c r="C189" i="23"/>
  <c r="G189" i="23"/>
  <c r="D189" i="23"/>
  <c r="F182" i="23"/>
  <c r="C182" i="23"/>
  <c r="G182" i="23"/>
  <c r="D182" i="23"/>
  <c r="F181" i="23"/>
  <c r="C181" i="23"/>
  <c r="G181" i="23"/>
  <c r="D181" i="23"/>
  <c r="F196" i="23"/>
  <c r="C196" i="23"/>
  <c r="G196" i="23"/>
  <c r="F192" i="23"/>
  <c r="C192" i="23"/>
  <c r="G192" i="23"/>
  <c r="F188" i="23"/>
  <c r="C188" i="23"/>
  <c r="G188" i="23"/>
  <c r="F184" i="23"/>
  <c r="C184" i="23"/>
  <c r="G184" i="23"/>
  <c r="F180" i="23"/>
  <c r="C180" i="23"/>
  <c r="G180" i="23"/>
  <c r="C145" i="23"/>
  <c r="G145" i="23"/>
  <c r="D145" i="23"/>
  <c r="F145" i="23"/>
  <c r="C129" i="23"/>
  <c r="G129" i="23"/>
  <c r="D129" i="23"/>
  <c r="F129" i="23"/>
  <c r="D33" i="23"/>
  <c r="F33" i="23"/>
  <c r="F199" i="23"/>
  <c r="C199" i="23"/>
  <c r="G199" i="23"/>
  <c r="F195" i="23"/>
  <c r="C195" i="23"/>
  <c r="G195" i="23"/>
  <c r="F191" i="23"/>
  <c r="C191" i="23"/>
  <c r="G191" i="23"/>
  <c r="F187" i="23"/>
  <c r="C187" i="23"/>
  <c r="G187" i="23"/>
  <c r="F183" i="23"/>
  <c r="C183" i="23"/>
  <c r="G183" i="23"/>
  <c r="F179" i="23"/>
  <c r="C179" i="23"/>
  <c r="G179" i="23"/>
  <c r="D175" i="23"/>
  <c r="CT175" i="23"/>
  <c r="G175" i="23"/>
  <c r="C175" i="23"/>
  <c r="D171" i="23"/>
  <c r="CT171" i="23"/>
  <c r="G171" i="23"/>
  <c r="C171" i="23"/>
  <c r="D167" i="23"/>
  <c r="CT167" i="23"/>
  <c r="G167" i="23"/>
  <c r="C167" i="23"/>
  <c r="C149" i="23"/>
  <c r="G149" i="23"/>
  <c r="D149" i="23"/>
  <c r="F149" i="23"/>
  <c r="CT145" i="23"/>
  <c r="C133" i="23"/>
  <c r="G133" i="23"/>
  <c r="D133" i="23"/>
  <c r="F133" i="23"/>
  <c r="CT129" i="23"/>
  <c r="CT33" i="23"/>
  <c r="D178" i="23"/>
  <c r="CT178" i="23"/>
  <c r="D176" i="23"/>
  <c r="CT176" i="23"/>
  <c r="D174" i="23"/>
  <c r="CT174" i="23"/>
  <c r="D172" i="23"/>
  <c r="CT172" i="23"/>
  <c r="D170" i="23"/>
  <c r="CT170" i="23"/>
  <c r="D168" i="23"/>
  <c r="CT168" i="23"/>
  <c r="D166" i="23"/>
  <c r="CT166" i="23"/>
  <c r="CT36" i="23"/>
  <c r="F36" i="23"/>
  <c r="C165" i="23"/>
  <c r="D165" i="23"/>
  <c r="CT165" i="23"/>
  <c r="C164" i="23"/>
  <c r="G164" i="23"/>
  <c r="D164" i="23"/>
  <c r="CT164" i="23"/>
  <c r="C163" i="23"/>
  <c r="G163" i="23"/>
  <c r="D163" i="23"/>
  <c r="CT163" i="23"/>
  <c r="C162" i="23"/>
  <c r="G162" i="23"/>
  <c r="D162" i="23"/>
  <c r="CT162" i="23"/>
  <c r="C161" i="23"/>
  <c r="G161" i="23"/>
  <c r="D161" i="23"/>
  <c r="CT161" i="23"/>
  <c r="C160" i="23"/>
  <c r="G160" i="23"/>
  <c r="D160" i="23"/>
  <c r="CT160" i="23"/>
  <c r="C159" i="23"/>
  <c r="G159" i="23"/>
  <c r="D159" i="23"/>
  <c r="CT159" i="23"/>
  <c r="C158" i="23"/>
  <c r="G158" i="23"/>
  <c r="D158" i="23"/>
  <c r="CT158" i="23"/>
  <c r="C157" i="23"/>
  <c r="G157" i="23"/>
  <c r="D157" i="23"/>
  <c r="CT157" i="23"/>
  <c r="C156" i="23"/>
  <c r="G156" i="23"/>
  <c r="D156" i="23"/>
  <c r="CT156" i="23"/>
  <c r="C155" i="23"/>
  <c r="G155" i="23"/>
  <c r="D155" i="23"/>
  <c r="CT155" i="23"/>
  <c r="C154" i="23"/>
  <c r="G154" i="23"/>
  <c r="D154" i="23"/>
  <c r="CT154" i="23"/>
  <c r="C153" i="23"/>
  <c r="G153" i="23"/>
  <c r="D153" i="23"/>
  <c r="CT153" i="23"/>
  <c r="C152" i="23"/>
  <c r="G152" i="23"/>
  <c r="D152" i="23"/>
  <c r="CT152" i="23"/>
  <c r="C151" i="23"/>
  <c r="G151" i="23"/>
  <c r="D151" i="23"/>
  <c r="CT151" i="23"/>
  <c r="C147" i="23"/>
  <c r="G147" i="23"/>
  <c r="D147" i="23"/>
  <c r="C143" i="23"/>
  <c r="G143" i="23"/>
  <c r="D143" i="23"/>
  <c r="C139" i="23"/>
  <c r="G139" i="23"/>
  <c r="D139" i="23"/>
  <c r="C135" i="23"/>
  <c r="G135" i="23"/>
  <c r="D135" i="23"/>
  <c r="C131" i="23"/>
  <c r="G131" i="23"/>
  <c r="D131" i="23"/>
  <c r="G70" i="23"/>
  <c r="C70" i="23"/>
  <c r="G68" i="23"/>
  <c r="C68" i="23"/>
  <c r="D37" i="23"/>
  <c r="F37" i="23"/>
  <c r="G80" i="23"/>
  <c r="C80" i="23"/>
  <c r="CT27" i="23"/>
  <c r="F27" i="23"/>
  <c r="CT17" i="23"/>
  <c r="D17" i="23"/>
  <c r="CT13" i="23"/>
  <c r="F13" i="23"/>
  <c r="C150" i="23"/>
  <c r="G150" i="23"/>
  <c r="C148" i="23"/>
  <c r="G148" i="23"/>
  <c r="C146" i="23"/>
  <c r="G146" i="23"/>
  <c r="C144" i="23"/>
  <c r="G144" i="23"/>
  <c r="C142" i="23"/>
  <c r="G142" i="23"/>
  <c r="C140" i="23"/>
  <c r="G140" i="23"/>
  <c r="C138" i="23"/>
  <c r="G138" i="23"/>
  <c r="C136" i="23"/>
  <c r="G136" i="23"/>
  <c r="C134" i="23"/>
  <c r="G134" i="23"/>
  <c r="C132" i="23"/>
  <c r="G132" i="23"/>
  <c r="C130" i="23"/>
  <c r="G130" i="23"/>
  <c r="C128" i="23"/>
  <c r="G128" i="23"/>
  <c r="F21" i="23"/>
  <c r="F9" i="23"/>
  <c r="CT19" i="20"/>
  <c r="C19" i="20"/>
  <c r="D7" i="20"/>
  <c r="D21" i="23"/>
  <c r="D13" i="23"/>
  <c r="F7" i="23"/>
  <c r="C27" i="20"/>
  <c r="D23" i="20"/>
  <c r="G22" i="20"/>
  <c r="D20" i="20"/>
  <c r="G19" i="20"/>
  <c r="D15" i="20"/>
  <c r="CT7" i="20"/>
  <c r="C7" i="20"/>
  <c r="G6" i="20"/>
  <c r="G27" i="20"/>
  <c r="CT27" i="20"/>
  <c r="C15" i="20"/>
  <c r="D11" i="20"/>
  <c r="G7" i="20"/>
  <c r="F11" i="23"/>
  <c r="D27" i="20"/>
  <c r="CT26" i="20"/>
  <c r="C26" i="20"/>
  <c r="C22" i="20"/>
  <c r="C18" i="20"/>
  <c r="D16" i="20"/>
  <c r="G13" i="20"/>
  <c r="G9" i="20"/>
  <c r="CT5" i="23"/>
  <c r="G26" i="20"/>
  <c r="CT22" i="20"/>
  <c r="CT18" i="20"/>
  <c r="C14" i="20"/>
  <c r="C10" i="20"/>
  <c r="C6" i="20"/>
  <c r="F15" i="23"/>
  <c r="F8" i="23"/>
  <c r="CT14" i="20"/>
  <c r="F19" i="23"/>
  <c r="D9" i="23"/>
  <c r="D26" i="20"/>
  <c r="F23" i="23"/>
  <c r="F4" i="23"/>
  <c r="D12" i="20"/>
  <c r="D8" i="20"/>
  <c r="D4" i="20"/>
  <c r="D27" i="23"/>
  <c r="D23" i="23"/>
  <c r="D19" i="23"/>
  <c r="D15" i="23"/>
  <c r="D11" i="23"/>
  <c r="D7" i="23"/>
  <c r="D4" i="23"/>
  <c r="D25" i="20"/>
  <c r="CT24" i="20"/>
  <c r="C24" i="20"/>
  <c r="D21" i="20"/>
  <c r="CT20" i="20"/>
  <c r="C20" i="20"/>
  <c r="D17" i="20"/>
  <c r="CT16" i="20"/>
  <c r="C16" i="20"/>
  <c r="D13" i="20"/>
  <c r="CT12" i="20"/>
  <c r="C12" i="20"/>
  <c r="D9" i="20"/>
  <c r="CT8" i="20"/>
  <c r="C8" i="20"/>
  <c r="D5" i="20"/>
  <c r="CT4" i="20"/>
  <c r="C4" i="20"/>
  <c r="F24" i="23"/>
  <c r="F20" i="23"/>
  <c r="F16" i="23"/>
  <c r="F12" i="23"/>
  <c r="CT25" i="20"/>
  <c r="C25" i="20"/>
  <c r="G24" i="20"/>
  <c r="D22" i="20"/>
  <c r="CT21" i="20"/>
  <c r="C21" i="20"/>
  <c r="G20" i="20"/>
  <c r="D18" i="20"/>
  <c r="CT17" i="20"/>
  <c r="C17" i="20"/>
  <c r="G16" i="20"/>
  <c r="D14" i="20"/>
  <c r="CT13" i="20"/>
  <c r="C13" i="20"/>
  <c r="G12" i="20"/>
  <c r="D10" i="20"/>
  <c r="CT9" i="20"/>
  <c r="C9" i="20"/>
  <c r="G8" i="20"/>
  <c r="D6" i="20"/>
  <c r="CT5" i="20"/>
  <c r="C5" i="20"/>
  <c r="G4" i="20"/>
  <c r="G25" i="20"/>
  <c r="G21" i="20"/>
  <c r="F26" i="23"/>
  <c r="F22" i="23"/>
  <c r="F18" i="23"/>
  <c r="F14" i="23"/>
  <c r="F10" i="23"/>
  <c r="F6" i="23"/>
  <c r="D67" i="23"/>
  <c r="CT67" i="23"/>
  <c r="G67" i="23"/>
  <c r="C67" i="23"/>
  <c r="F48" i="23"/>
  <c r="C48" i="23"/>
  <c r="G48" i="23"/>
  <c r="D48" i="23"/>
  <c r="CT48" i="23"/>
  <c r="D75" i="23"/>
  <c r="CT75" i="23"/>
  <c r="G75" i="23"/>
  <c r="C75" i="23"/>
  <c r="F75" i="23"/>
  <c r="D73" i="23"/>
  <c r="CT73" i="23"/>
  <c r="G73" i="23"/>
  <c r="C73" i="23"/>
  <c r="F73" i="23"/>
  <c r="F67" i="23"/>
  <c r="D79" i="23"/>
  <c r="CT79" i="23"/>
  <c r="G79" i="23"/>
  <c r="C79" i="23"/>
  <c r="D71" i="23"/>
  <c r="CT71" i="23"/>
  <c r="G71" i="23"/>
  <c r="C71" i="23"/>
  <c r="D77" i="23"/>
  <c r="CT77" i="23"/>
  <c r="G77" i="23"/>
  <c r="C77" i="23"/>
  <c r="D69" i="23"/>
  <c r="CT69" i="23"/>
  <c r="G69" i="23"/>
  <c r="C69" i="23"/>
  <c r="C66" i="23"/>
  <c r="D66" i="23"/>
  <c r="CT66" i="23"/>
  <c r="C65" i="23"/>
  <c r="G65" i="23"/>
  <c r="D65" i="23"/>
  <c r="CT65" i="23"/>
  <c r="C64" i="23"/>
  <c r="G64" i="23"/>
  <c r="D64" i="23"/>
  <c r="CT64" i="23"/>
  <c r="C63" i="23"/>
  <c r="G63" i="23"/>
  <c r="D63" i="23"/>
  <c r="CT63" i="23"/>
  <c r="C62" i="23"/>
  <c r="G62" i="23"/>
  <c r="D62" i="23"/>
  <c r="CT62" i="23"/>
  <c r="C61" i="23"/>
  <c r="G61" i="23"/>
  <c r="D61" i="23"/>
  <c r="CT61" i="23"/>
  <c r="C60" i="23"/>
  <c r="G60" i="23"/>
  <c r="D60" i="23"/>
  <c r="CT60" i="23"/>
  <c r="C59" i="23"/>
  <c r="G59" i="23"/>
  <c r="D59" i="23"/>
  <c r="CT59" i="23"/>
  <c r="C58" i="23"/>
  <c r="G58" i="23"/>
  <c r="D58" i="23"/>
  <c r="CT58" i="23"/>
  <c r="C57" i="23"/>
  <c r="G57" i="23"/>
  <c r="D57" i="23"/>
  <c r="CT57" i="23"/>
  <c r="C56" i="23"/>
  <c r="G56" i="23"/>
  <c r="D56" i="23"/>
  <c r="CT56" i="23"/>
  <c r="C55" i="23"/>
  <c r="G55" i="23"/>
  <c r="D55" i="23"/>
  <c r="CT55" i="23"/>
  <c r="C54" i="23"/>
  <c r="G54" i="23"/>
  <c r="D54" i="23"/>
  <c r="CT54" i="23"/>
  <c r="C53" i="23"/>
  <c r="G53" i="23"/>
  <c r="D53" i="23"/>
  <c r="CT53" i="23"/>
  <c r="C52" i="23"/>
  <c r="G52" i="23"/>
  <c r="D52" i="23"/>
  <c r="CT52" i="23"/>
  <c r="C51" i="23"/>
  <c r="G51" i="23"/>
  <c r="D51" i="23"/>
  <c r="CT51" i="23"/>
  <c r="C50" i="23"/>
  <c r="G50" i="23"/>
  <c r="D50" i="23"/>
  <c r="CT50" i="23"/>
  <c r="C49" i="23"/>
  <c r="G49" i="23"/>
  <c r="D49" i="23"/>
  <c r="CT49" i="23"/>
  <c r="D80" i="23"/>
  <c r="CT80" i="23"/>
  <c r="D78" i="23"/>
  <c r="CT78" i="23"/>
  <c r="D76" i="23"/>
  <c r="CT76" i="23"/>
  <c r="D74" i="23"/>
  <c r="CT74" i="23"/>
  <c r="D72" i="23"/>
  <c r="CT72" i="23"/>
  <c r="D70" i="23"/>
  <c r="CT70" i="23"/>
  <c r="D68" i="23"/>
  <c r="CT68" i="23"/>
  <c r="F47" i="23"/>
  <c r="C47" i="23"/>
  <c r="G47" i="23"/>
  <c r="D47" i="23"/>
  <c r="CT47" i="23"/>
  <c r="CT46" i="23"/>
  <c r="D46" i="23"/>
  <c r="C45" i="23"/>
  <c r="G45" i="23"/>
  <c r="D44" i="23"/>
  <c r="C43" i="23"/>
  <c r="G43" i="23"/>
  <c r="D42" i="23"/>
  <c r="C41" i="23"/>
  <c r="G41" i="23"/>
  <c r="D40" i="23"/>
  <c r="C39" i="23"/>
  <c r="G39" i="23"/>
  <c r="D38" i="23"/>
  <c r="C37" i="23"/>
  <c r="G37" i="23"/>
  <c r="D36" i="23"/>
  <c r="C35" i="23"/>
  <c r="G35" i="23"/>
  <c r="D34" i="23"/>
  <c r="C33" i="23"/>
  <c r="G33" i="23"/>
  <c r="D32" i="23"/>
  <c r="C31" i="23"/>
  <c r="G31" i="23"/>
  <c r="D30" i="23"/>
  <c r="C29" i="23"/>
  <c r="G29" i="23"/>
  <c r="D28" i="23"/>
  <c r="C27" i="23"/>
  <c r="G27" i="23"/>
  <c r="D26" i="23"/>
  <c r="C25" i="23"/>
  <c r="G25" i="23"/>
  <c r="D24" i="23"/>
  <c r="C23" i="23"/>
  <c r="G23" i="23"/>
  <c r="D22" i="23"/>
  <c r="C21" i="23"/>
  <c r="G21" i="23"/>
  <c r="D20" i="23"/>
  <c r="C19" i="23"/>
  <c r="G19" i="23"/>
  <c r="D18" i="23"/>
  <c r="C17" i="23"/>
  <c r="G17" i="23"/>
  <c r="D16" i="23"/>
  <c r="C15" i="23"/>
  <c r="G15" i="23"/>
  <c r="D14" i="23"/>
  <c r="C13" i="23"/>
  <c r="G13" i="23"/>
  <c r="D12" i="23"/>
  <c r="C11" i="23"/>
  <c r="G11" i="23"/>
  <c r="D10" i="23"/>
  <c r="C9" i="23"/>
  <c r="G9" i="23"/>
  <c r="D8" i="23"/>
  <c r="C7" i="23"/>
  <c r="G7" i="23"/>
  <c r="D6" i="23"/>
  <c r="C5" i="23"/>
  <c r="G5" i="23"/>
  <c r="G46" i="23"/>
  <c r="C44" i="23"/>
  <c r="G44" i="23"/>
  <c r="C42" i="23"/>
  <c r="G42" i="23"/>
  <c r="C40" i="23"/>
  <c r="G40" i="23"/>
  <c r="C38" i="23"/>
  <c r="G38" i="23"/>
  <c r="C36" i="23"/>
  <c r="G36" i="23"/>
  <c r="C34" i="23"/>
  <c r="G34" i="23"/>
  <c r="C32" i="23"/>
  <c r="G32" i="23"/>
  <c r="C30" i="23"/>
  <c r="G30" i="23"/>
  <c r="C28" i="23"/>
  <c r="G28" i="23"/>
  <c r="C26" i="23"/>
  <c r="G26" i="23"/>
  <c r="C24" i="23"/>
  <c r="G24" i="23"/>
  <c r="C22" i="23"/>
  <c r="G22" i="23"/>
  <c r="C20" i="23"/>
  <c r="G20" i="23"/>
  <c r="C18" i="23"/>
  <c r="G18" i="23"/>
  <c r="C16" i="23"/>
  <c r="G16" i="23"/>
  <c r="C14" i="23"/>
  <c r="G14" i="23"/>
  <c r="C12" i="23"/>
  <c r="G12" i="23"/>
  <c r="C10" i="23"/>
  <c r="G10" i="23"/>
  <c r="C8" i="23"/>
  <c r="G8" i="23"/>
  <c r="C6" i="23"/>
  <c r="G6" i="23"/>
  <c r="G4" i="23"/>
  <c r="F77" i="20"/>
  <c r="G77" i="20"/>
  <c r="C77" i="20"/>
  <c r="CT77" i="20"/>
  <c r="D77" i="20"/>
  <c r="C183" i="20"/>
  <c r="G183" i="20"/>
  <c r="D183" i="20"/>
  <c r="F183" i="20"/>
  <c r="CT183" i="20"/>
  <c r="C132" i="20"/>
  <c r="G132" i="20"/>
  <c r="D132" i="20"/>
  <c r="F132" i="20"/>
  <c r="CT132" i="20"/>
  <c r="C148" i="20"/>
  <c r="G148" i="20"/>
  <c r="D148" i="20"/>
  <c r="F148" i="20"/>
  <c r="C138" i="20"/>
  <c r="G138" i="20"/>
  <c r="D138" i="20"/>
  <c r="F138" i="20"/>
  <c r="F78" i="20"/>
  <c r="C78" i="20"/>
  <c r="CT78" i="20"/>
  <c r="D78" i="20"/>
  <c r="G78" i="20"/>
  <c r="C173" i="20"/>
  <c r="G173" i="20"/>
  <c r="D173" i="20"/>
  <c r="C164" i="20"/>
  <c r="G164" i="20"/>
  <c r="D164" i="20"/>
  <c r="F164" i="20"/>
  <c r="C154" i="20"/>
  <c r="G154" i="20"/>
  <c r="D154" i="20"/>
  <c r="F154" i="20"/>
  <c r="CT148" i="20"/>
  <c r="CT138" i="20"/>
  <c r="C181" i="20"/>
  <c r="G181" i="20"/>
  <c r="D181" i="20"/>
  <c r="C175" i="20"/>
  <c r="G175" i="20"/>
  <c r="D175" i="20"/>
  <c r="F175" i="20"/>
  <c r="C185" i="20"/>
  <c r="D185" i="20"/>
  <c r="CT185" i="20"/>
  <c r="C177" i="20"/>
  <c r="G177" i="20"/>
  <c r="D177" i="20"/>
  <c r="C169" i="20"/>
  <c r="G169" i="20"/>
  <c r="D169" i="20"/>
  <c r="C156" i="20"/>
  <c r="G156" i="20"/>
  <c r="D156" i="20"/>
  <c r="F156" i="20"/>
  <c r="C140" i="20"/>
  <c r="G140" i="20"/>
  <c r="D140" i="20"/>
  <c r="F140" i="20"/>
  <c r="C179" i="20"/>
  <c r="G179" i="20"/>
  <c r="D179" i="20"/>
  <c r="C171" i="20"/>
  <c r="G171" i="20"/>
  <c r="D171" i="20"/>
  <c r="C162" i="20"/>
  <c r="G162" i="20"/>
  <c r="D162" i="20"/>
  <c r="C146" i="20"/>
  <c r="G146" i="20"/>
  <c r="D146" i="20"/>
  <c r="C130" i="20"/>
  <c r="G130" i="20"/>
  <c r="D130" i="20"/>
  <c r="C166" i="20"/>
  <c r="G166" i="20"/>
  <c r="D166" i="20"/>
  <c r="C158" i="20"/>
  <c r="G158" i="20"/>
  <c r="D158" i="20"/>
  <c r="C150" i="20"/>
  <c r="G150" i="20"/>
  <c r="D150" i="20"/>
  <c r="C142" i="20"/>
  <c r="G142" i="20"/>
  <c r="D142" i="20"/>
  <c r="C134" i="20"/>
  <c r="G134" i="20"/>
  <c r="D134" i="20"/>
  <c r="CT199" i="20"/>
  <c r="CT198" i="20"/>
  <c r="CT197" i="20"/>
  <c r="CT196" i="20"/>
  <c r="CT195" i="20"/>
  <c r="CT194" i="20"/>
  <c r="CT193" i="20"/>
  <c r="CT192" i="20"/>
  <c r="CT191" i="20"/>
  <c r="CT190" i="20"/>
  <c r="CT189" i="20"/>
  <c r="CT188" i="20"/>
  <c r="CT187" i="20"/>
  <c r="CT186" i="20"/>
  <c r="C184" i="20"/>
  <c r="G184" i="20"/>
  <c r="C182" i="20"/>
  <c r="G182" i="20"/>
  <c r="C180" i="20"/>
  <c r="G180" i="20"/>
  <c r="C178" i="20"/>
  <c r="G178" i="20"/>
  <c r="C176" i="20"/>
  <c r="G176" i="20"/>
  <c r="C174" i="20"/>
  <c r="G174" i="20"/>
  <c r="C172" i="20"/>
  <c r="G172" i="20"/>
  <c r="C170" i="20"/>
  <c r="G170" i="20"/>
  <c r="C168" i="20"/>
  <c r="G168" i="20"/>
  <c r="F166" i="20"/>
  <c r="C160" i="20"/>
  <c r="G160" i="20"/>
  <c r="D160" i="20"/>
  <c r="F158" i="20"/>
  <c r="C152" i="20"/>
  <c r="G152" i="20"/>
  <c r="D152" i="20"/>
  <c r="F150" i="20"/>
  <c r="C144" i="20"/>
  <c r="G144" i="20"/>
  <c r="D144" i="20"/>
  <c r="F142" i="20"/>
  <c r="C136" i="20"/>
  <c r="G136" i="20"/>
  <c r="D136" i="20"/>
  <c r="F134" i="20"/>
  <c r="C128" i="20"/>
  <c r="G128" i="20"/>
  <c r="D128" i="20"/>
  <c r="C167" i="20"/>
  <c r="G167" i="20"/>
  <c r="C165" i="20"/>
  <c r="G165" i="20"/>
  <c r="C163" i="20"/>
  <c r="G163" i="20"/>
  <c r="C161" i="20"/>
  <c r="G161" i="20"/>
  <c r="C159" i="20"/>
  <c r="G159" i="20"/>
  <c r="C157" i="20"/>
  <c r="G157" i="20"/>
  <c r="C155" i="20"/>
  <c r="G155" i="20"/>
  <c r="C153" i="20"/>
  <c r="G153" i="20"/>
  <c r="C151" i="20"/>
  <c r="G151" i="20"/>
  <c r="C149" i="20"/>
  <c r="G149" i="20"/>
  <c r="C147" i="20"/>
  <c r="G147" i="20"/>
  <c r="C145" i="20"/>
  <c r="G145" i="20"/>
  <c r="C143" i="20"/>
  <c r="G143" i="20"/>
  <c r="C141" i="20"/>
  <c r="G141" i="20"/>
  <c r="C139" i="20"/>
  <c r="G139" i="20"/>
  <c r="C137" i="20"/>
  <c r="G137" i="20"/>
  <c r="C135" i="20"/>
  <c r="G135" i="20"/>
  <c r="C133" i="20"/>
  <c r="G133" i="20"/>
  <c r="C131" i="20"/>
  <c r="G131" i="20"/>
  <c r="C129" i="20"/>
  <c r="G129" i="20"/>
  <c r="G80" i="20"/>
  <c r="A3" i="20"/>
  <c r="Q3" i="29" s="1"/>
  <c r="CU3" i="20" s="1"/>
  <c r="E3" i="20"/>
  <c r="E3" i="23"/>
  <c r="B3" i="23"/>
  <c r="C3" i="23"/>
  <c r="B3" i="20"/>
  <c r="E2" i="23"/>
  <c r="M17" i="29" l="1"/>
  <c r="K17" i="29"/>
  <c r="L17" i="29"/>
  <c r="P37" i="29"/>
  <c r="J18" i="29"/>
  <c r="P16" i="29"/>
  <c r="R37" i="29"/>
  <c r="CU37" i="23" s="1"/>
  <c r="R40" i="29"/>
  <c r="CU40" i="23" s="1"/>
  <c r="R39" i="29"/>
  <c r="CU39" i="23" s="1"/>
  <c r="R38" i="29"/>
  <c r="CU38" i="23" s="1"/>
  <c r="Q40" i="29"/>
  <c r="CU40" i="20" s="1"/>
  <c r="Q39" i="29"/>
  <c r="CU39" i="20" s="1"/>
  <c r="Q38" i="29"/>
  <c r="CU38" i="20" s="1"/>
  <c r="CT3" i="20"/>
  <c r="D3" i="23"/>
  <c r="G3" i="23"/>
  <c r="F3" i="23"/>
  <c r="CT3" i="23"/>
  <c r="G3" i="20"/>
  <c r="F3" i="20"/>
  <c r="C3" i="20"/>
  <c r="D3" i="20"/>
  <c r="M18" i="29" l="1"/>
  <c r="K18" i="29"/>
  <c r="L18" i="29"/>
  <c r="P38" i="29"/>
  <c r="J19" i="29"/>
  <c r="P17" i="29"/>
  <c r="R42" i="29"/>
  <c r="CU42" i="23" s="1"/>
  <c r="R41" i="29"/>
  <c r="CU41" i="23" s="1"/>
  <c r="R44" i="29"/>
  <c r="CU44" i="23" s="1"/>
  <c r="R43" i="29"/>
  <c r="CU43" i="23" s="1"/>
  <c r="Q42" i="29"/>
  <c r="CU42" i="20" s="1"/>
  <c r="Q43" i="29"/>
  <c r="CU43" i="20" s="1"/>
  <c r="Q41" i="29"/>
  <c r="CU41" i="20" s="1"/>
  <c r="Q44" i="29"/>
  <c r="CU44" i="20" s="1"/>
  <c r="Z2" i="28"/>
  <c r="AA2" i="28"/>
  <c r="Y2" i="28"/>
  <c r="X2" i="28"/>
  <c r="P2" i="28"/>
  <c r="Q2" i="28"/>
  <c r="AB2" i="28"/>
  <c r="AC2" i="28"/>
  <c r="AD2" i="28"/>
  <c r="AF2" i="28"/>
  <c r="AE2" i="28"/>
  <c r="S2" i="28"/>
  <c r="W2" i="28"/>
  <c r="V2" i="28"/>
  <c r="U2" i="28"/>
  <c r="T2" i="28"/>
  <c r="R2" i="28"/>
  <c r="J2" i="28"/>
  <c r="M2" i="28"/>
  <c r="K2" i="28"/>
  <c r="N2" i="28"/>
  <c r="L2" i="28"/>
  <c r="M19" i="29" l="1"/>
  <c r="K19" i="29"/>
  <c r="L19" i="29"/>
  <c r="P39" i="29"/>
  <c r="J20" i="29"/>
  <c r="P18" i="29"/>
  <c r="Q47" i="29"/>
  <c r="CU47" i="20" s="1"/>
  <c r="R48" i="29"/>
  <c r="CU48" i="23" s="1"/>
  <c r="Q46" i="29"/>
  <c r="CU46" i="20" s="1"/>
  <c r="R47" i="29"/>
  <c r="CU47" i="23" s="1"/>
  <c r="R46" i="29"/>
  <c r="CU46" i="23" s="1"/>
  <c r="Q48" i="29"/>
  <c r="CU48" i="20" s="1"/>
  <c r="R45" i="29"/>
  <c r="CU45" i="23" s="1"/>
  <c r="Q45" i="29"/>
  <c r="CU45" i="20" s="1"/>
  <c r="M20" i="29" l="1"/>
  <c r="K20" i="29"/>
  <c r="L20" i="29"/>
  <c r="P40" i="29"/>
  <c r="J21" i="29"/>
  <c r="P19" i="29"/>
  <c r="Q51" i="29"/>
  <c r="CU51" i="20" s="1"/>
  <c r="R52" i="29"/>
  <c r="CU52" i="23" s="1"/>
  <c r="Q50" i="29"/>
  <c r="CU50" i="20" s="1"/>
  <c r="R51" i="29"/>
  <c r="CU51" i="23" s="1"/>
  <c r="Q49" i="29"/>
  <c r="CU49" i="20" s="1"/>
  <c r="R50" i="29"/>
  <c r="CU50" i="23" s="1"/>
  <c r="R49" i="29"/>
  <c r="CU49" i="23" s="1"/>
  <c r="Q52" i="29"/>
  <c r="CU52" i="20" s="1"/>
  <c r="M21" i="29" l="1"/>
  <c r="K21" i="29"/>
  <c r="L21" i="29"/>
  <c r="P41" i="29"/>
  <c r="J22" i="29"/>
  <c r="P20" i="29"/>
  <c r="Q55" i="29"/>
  <c r="CU55" i="20" s="1"/>
  <c r="R56" i="29"/>
  <c r="CU56" i="23" s="1"/>
  <c r="Q54" i="29"/>
  <c r="CU54" i="20" s="1"/>
  <c r="R55" i="29"/>
  <c r="CU55" i="23" s="1"/>
  <c r="Q53" i="29"/>
  <c r="CU53" i="20" s="1"/>
  <c r="R54" i="29"/>
  <c r="CU54" i="23" s="1"/>
  <c r="R53" i="29"/>
  <c r="CU53" i="23" s="1"/>
  <c r="Q56" i="29"/>
  <c r="CU56" i="20" s="1"/>
  <c r="M22" i="29" l="1"/>
  <c r="K22" i="29"/>
  <c r="L22" i="29"/>
  <c r="P42" i="29"/>
  <c r="J23" i="29"/>
  <c r="P21" i="29"/>
  <c r="Q59" i="29"/>
  <c r="CU59" i="20" s="1"/>
  <c r="R60" i="29"/>
  <c r="CU60" i="23" s="1"/>
  <c r="Q58" i="29"/>
  <c r="CU58" i="20" s="1"/>
  <c r="R59" i="29"/>
  <c r="CU59" i="23" s="1"/>
  <c r="Q57" i="29"/>
  <c r="CU57" i="20" s="1"/>
  <c r="R58" i="29"/>
  <c r="CU58" i="23" s="1"/>
  <c r="R57" i="29"/>
  <c r="CU57" i="23" s="1"/>
  <c r="Q60" i="29"/>
  <c r="CU60" i="20" s="1"/>
  <c r="M23" i="29" l="1"/>
  <c r="K23" i="29"/>
  <c r="L23" i="29"/>
  <c r="P43" i="29"/>
  <c r="J24" i="29"/>
  <c r="P22" i="29"/>
  <c r="Q63" i="29"/>
  <c r="CU63" i="20" s="1"/>
  <c r="R64" i="29"/>
  <c r="CU64" i="23" s="1"/>
  <c r="Q62" i="29"/>
  <c r="CU62" i="20" s="1"/>
  <c r="R63" i="29"/>
  <c r="CU63" i="23" s="1"/>
  <c r="Q61" i="29"/>
  <c r="CU61" i="20" s="1"/>
  <c r="R62" i="29"/>
  <c r="CU62" i="23" s="1"/>
  <c r="R61" i="29"/>
  <c r="CU61" i="23" s="1"/>
  <c r="Q64" i="29"/>
  <c r="CU64" i="20" s="1"/>
  <c r="M24" i="29" l="1"/>
  <c r="K24" i="29"/>
  <c r="L24" i="29"/>
  <c r="P44" i="29"/>
  <c r="P23" i="29"/>
  <c r="Q67" i="29"/>
  <c r="CU67" i="20" s="1"/>
  <c r="R68" i="29"/>
  <c r="CU68" i="23" s="1"/>
  <c r="Q66" i="29"/>
  <c r="CU66" i="20" s="1"/>
  <c r="R67" i="29"/>
  <c r="CU67" i="23" s="1"/>
  <c r="Q65" i="29"/>
  <c r="CU65" i="20" s="1"/>
  <c r="R66" i="29"/>
  <c r="CU66" i="23" s="1"/>
  <c r="R65" i="29"/>
  <c r="CU65" i="23" s="1"/>
  <c r="Q68" i="29"/>
  <c r="CU68" i="20" s="1"/>
  <c r="P45" i="29" l="1"/>
  <c r="Q71" i="29"/>
  <c r="CU71" i="20" s="1"/>
  <c r="R72" i="29"/>
  <c r="CU72" i="23" s="1"/>
  <c r="Q70" i="29"/>
  <c r="CU70" i="20" s="1"/>
  <c r="R71" i="29"/>
  <c r="CU71" i="23" s="1"/>
  <c r="Q69" i="29"/>
  <c r="CU69" i="20" s="1"/>
  <c r="R70" i="29"/>
  <c r="CU70" i="23" s="1"/>
  <c r="R69" i="29"/>
  <c r="CU69" i="23" s="1"/>
  <c r="Q72" i="29"/>
  <c r="CU72" i="20" s="1"/>
  <c r="Q75" i="29" l="1"/>
  <c r="CU75" i="20" s="1"/>
  <c r="R76" i="29"/>
  <c r="CU76" i="23" s="1"/>
  <c r="Q74" i="29"/>
  <c r="CU74" i="20" s="1"/>
  <c r="R75" i="29"/>
  <c r="CU75" i="23" s="1"/>
  <c r="Q73" i="29"/>
  <c r="CU73" i="20" s="1"/>
  <c r="R74" i="29"/>
  <c r="CU74" i="23" s="1"/>
  <c r="R73" i="29"/>
  <c r="CU73" i="23" s="1"/>
  <c r="Q76" i="29"/>
  <c r="CU76" i="20" s="1"/>
  <c r="Q79" i="29" l="1"/>
  <c r="CU79" i="20" s="1"/>
  <c r="R80" i="29"/>
  <c r="CU80" i="23" s="1"/>
  <c r="Q78" i="29"/>
  <c r="CU78" i="20" s="1"/>
  <c r="R79" i="29"/>
  <c r="CU79" i="23" s="1"/>
  <c r="Q77" i="29"/>
  <c r="CU77" i="20" s="1"/>
  <c r="R78" i="29"/>
  <c r="CU78" i="23" s="1"/>
  <c r="R77" i="29"/>
  <c r="CU77" i="23" s="1"/>
  <c r="Q80" i="29"/>
  <c r="CU80" i="20" s="1"/>
  <c r="A124" i="23" l="1"/>
  <c r="R124" i="29" s="1"/>
  <c r="CU124" i="23" s="1"/>
  <c r="A124" i="20"/>
  <c r="Q124" i="29" s="1"/>
  <c r="CU124" i="20" s="1"/>
  <c r="A98" i="20"/>
  <c r="Q98" i="29" s="1"/>
  <c r="CU98" i="20" s="1"/>
  <c r="A98" i="23"/>
  <c r="R98" i="29" s="1"/>
  <c r="CU98" i="23" s="1"/>
  <c r="A117" i="20"/>
  <c r="Q117" i="29" s="1"/>
  <c r="CU117" i="20" s="1"/>
  <c r="A117" i="23"/>
  <c r="R117" i="29" s="1"/>
  <c r="CU117" i="23" s="1"/>
  <c r="A84" i="20"/>
  <c r="Q84" i="29" s="1"/>
  <c r="CU84" i="20" s="1"/>
  <c r="A84" i="23"/>
  <c r="R84" i="29" s="1"/>
  <c r="CU84" i="23" s="1"/>
  <c r="A86" i="23"/>
  <c r="R86" i="29" s="1"/>
  <c r="CU86" i="23" s="1"/>
  <c r="A86" i="20"/>
  <c r="Q86" i="29" s="1"/>
  <c r="CU86" i="20" s="1"/>
  <c r="A90" i="20"/>
  <c r="Q90" i="29" s="1"/>
  <c r="CU90" i="20" s="1"/>
  <c r="A90" i="23"/>
  <c r="R90" i="29" s="1"/>
  <c r="CU90" i="23" s="1"/>
  <c r="A104" i="20"/>
  <c r="Q104" i="29" s="1"/>
  <c r="CU104" i="20" s="1"/>
  <c r="A104" i="23"/>
  <c r="R104" i="29" s="1"/>
  <c r="CU104" i="23" s="1"/>
  <c r="A96" i="20"/>
  <c r="Q96" i="29" s="1"/>
  <c r="CU96" i="20" s="1"/>
  <c r="A96" i="23"/>
  <c r="R96" i="29" s="1"/>
  <c r="CU96" i="23" s="1"/>
  <c r="A97" i="23"/>
  <c r="R97" i="29" s="1"/>
  <c r="CU97" i="23" s="1"/>
  <c r="A97" i="20"/>
  <c r="Q97" i="29" s="1"/>
  <c r="CU97" i="20" s="1"/>
  <c r="A95" i="23"/>
  <c r="R95" i="29" s="1"/>
  <c r="CU95" i="23" s="1"/>
  <c r="A95" i="20"/>
  <c r="Q95" i="29" s="1"/>
  <c r="CU95" i="20" s="1"/>
  <c r="A113" i="23"/>
  <c r="R113" i="29" s="1"/>
  <c r="CU113" i="23" s="1"/>
  <c r="A113" i="20"/>
  <c r="Q113" i="29" s="1"/>
  <c r="CU113" i="20" s="1"/>
  <c r="A114" i="20"/>
  <c r="Q114" i="29" s="1"/>
  <c r="CU114" i="20" s="1"/>
  <c r="A114" i="23"/>
  <c r="R114" i="29" s="1"/>
  <c r="CU114" i="23" s="1"/>
  <c r="A89" i="23"/>
  <c r="R89" i="29" s="1"/>
  <c r="CU89" i="23" s="1"/>
  <c r="A89" i="20"/>
  <c r="Q89" i="29" s="1"/>
  <c r="CU89" i="20" s="1"/>
  <c r="A85" i="20"/>
  <c r="Q85" i="29" s="1"/>
  <c r="CU85" i="20" s="1"/>
  <c r="A85" i="23"/>
  <c r="R85" i="29" s="1"/>
  <c r="CU85" i="23" s="1"/>
  <c r="A111" i="23"/>
  <c r="R111" i="29" s="1"/>
  <c r="CU111" i="23" s="1"/>
  <c r="A111" i="20"/>
  <c r="Q111" i="29" s="1"/>
  <c r="CU111" i="20" s="1"/>
  <c r="A109" i="23"/>
  <c r="R109" i="29" s="1"/>
  <c r="CU109" i="23" s="1"/>
  <c r="A109" i="20"/>
  <c r="Q109" i="29" s="1"/>
  <c r="CU109" i="20" s="1"/>
  <c r="A119" i="23"/>
  <c r="R119" i="29" s="1"/>
  <c r="CU119" i="23" s="1"/>
  <c r="A119" i="20"/>
  <c r="Q119" i="29" s="1"/>
  <c r="CU119" i="20" s="1"/>
  <c r="A81" i="23"/>
  <c r="R81" i="29" s="1"/>
  <c r="CU81" i="23" s="1"/>
  <c r="A81" i="20"/>
  <c r="Q81" i="29" s="1"/>
  <c r="CU81" i="20" s="1"/>
  <c r="A118" i="23"/>
  <c r="R118" i="29" s="1"/>
  <c r="CU118" i="23" s="1"/>
  <c r="A118" i="20"/>
  <c r="Q118" i="29" s="1"/>
  <c r="CU118" i="20" s="1"/>
  <c r="A123" i="23"/>
  <c r="R123" i="29" s="1"/>
  <c r="CU123" i="23" s="1"/>
  <c r="A123" i="20"/>
  <c r="Q123" i="29" s="1"/>
  <c r="CU123" i="20" s="1"/>
  <c r="A100" i="23"/>
  <c r="R100" i="29" s="1"/>
  <c r="CU100" i="23" s="1"/>
  <c r="A100" i="20"/>
  <c r="Q100" i="29" s="1"/>
  <c r="CU100" i="20" s="1"/>
  <c r="A121" i="23"/>
  <c r="R121" i="29" s="1"/>
  <c r="CU121" i="23" s="1"/>
  <c r="A121" i="20"/>
  <c r="Q121" i="29" s="1"/>
  <c r="CU121" i="20" s="1"/>
  <c r="A125" i="23"/>
  <c r="R125" i="29" s="1"/>
  <c r="CU125" i="23" s="1"/>
  <c r="A125" i="20"/>
  <c r="Q125" i="29" s="1"/>
  <c r="CU125" i="20" s="1"/>
  <c r="A107" i="23"/>
  <c r="R107" i="29" s="1"/>
  <c r="CU107" i="23" s="1"/>
  <c r="A107" i="20"/>
  <c r="Q107" i="29" s="1"/>
  <c r="CU107" i="20" s="1"/>
  <c r="A112" i="23"/>
  <c r="R112" i="29" s="1"/>
  <c r="CU112" i="23" s="1"/>
  <c r="A112" i="20"/>
  <c r="Q112" i="29" s="1"/>
  <c r="CU112" i="20" s="1"/>
  <c r="A108" i="23"/>
  <c r="R108" i="29" s="1"/>
  <c r="CU108" i="23" s="1"/>
  <c r="A108" i="20"/>
  <c r="Q108" i="29" s="1"/>
  <c r="CU108" i="20" s="1"/>
  <c r="A105" i="20"/>
  <c r="Q105" i="29" s="1"/>
  <c r="CU105" i="20" s="1"/>
  <c r="A105" i="23"/>
  <c r="R105" i="29" s="1"/>
  <c r="CU105" i="23" s="1"/>
  <c r="A82" i="20"/>
  <c r="Q82" i="29" s="1"/>
  <c r="CU82" i="20" s="1"/>
  <c r="A82" i="23"/>
  <c r="R82" i="29" s="1"/>
  <c r="CU82" i="23" s="1"/>
  <c r="A116" i="23"/>
  <c r="R116" i="29" s="1"/>
  <c r="CU116" i="23" s="1"/>
  <c r="A116" i="20"/>
  <c r="Q116" i="29" s="1"/>
  <c r="CU116" i="20" s="1"/>
  <c r="A115" i="20"/>
  <c r="Q115" i="29" s="1"/>
  <c r="CU115" i="20" s="1"/>
  <c r="A115" i="23"/>
  <c r="R115" i="29" s="1"/>
  <c r="CU115" i="23" s="1"/>
  <c r="A83" i="20"/>
  <c r="Q83" i="29" s="1"/>
  <c r="CU83" i="20" s="1"/>
  <c r="A83" i="23"/>
  <c r="R83" i="29" s="1"/>
  <c r="CU83" i="23" s="1"/>
  <c r="A99" i="20"/>
  <c r="Q99" i="29" s="1"/>
  <c r="CU99" i="20" s="1"/>
  <c r="A99" i="23"/>
  <c r="R99" i="29" s="1"/>
  <c r="CU99" i="23" s="1"/>
  <c r="A92" i="23"/>
  <c r="R92" i="29" s="1"/>
  <c r="CU92" i="23" s="1"/>
  <c r="A92" i="20"/>
  <c r="Q92" i="29" s="1"/>
  <c r="CU92" i="20" s="1"/>
  <c r="A103" i="20"/>
  <c r="Q103" i="29" s="1"/>
  <c r="CU103" i="20" s="1"/>
  <c r="A103" i="23"/>
  <c r="R103" i="29" s="1"/>
  <c r="CU103" i="23" s="1"/>
  <c r="A101" i="23"/>
  <c r="R101" i="29" s="1"/>
  <c r="CU101" i="23" s="1"/>
  <c r="A101" i="20"/>
  <c r="Q101" i="29" s="1"/>
  <c r="CU101" i="20" s="1"/>
  <c r="A93" i="20"/>
  <c r="Q93" i="29" s="1"/>
  <c r="CU93" i="20" s="1"/>
  <c r="A93" i="23"/>
  <c r="R93" i="29" s="1"/>
  <c r="CU93" i="23" s="1"/>
  <c r="A91" i="20"/>
  <c r="Q91" i="29" s="1"/>
  <c r="CU91" i="20" s="1"/>
  <c r="A91" i="23"/>
  <c r="R91" i="29" s="1"/>
  <c r="CU91" i="23" s="1"/>
  <c r="A106" i="20"/>
  <c r="Q106" i="29" s="1"/>
  <c r="CU106" i="20" s="1"/>
  <c r="A106" i="23"/>
  <c r="R106" i="29" s="1"/>
  <c r="CU106" i="23" s="1"/>
  <c r="A110" i="23"/>
  <c r="R110" i="29" s="1"/>
  <c r="CU110" i="23" s="1"/>
  <c r="A110" i="20"/>
  <c r="Q110" i="29" s="1"/>
  <c r="CU110" i="20" s="1"/>
  <c r="A94" i="20"/>
  <c r="Q94" i="29" s="1"/>
  <c r="CU94" i="20" s="1"/>
  <c r="A94" i="23"/>
  <c r="R94" i="29" s="1"/>
  <c r="CU94" i="23" s="1"/>
  <c r="A88" i="23"/>
  <c r="R88" i="29" s="1"/>
  <c r="CU88" i="23" s="1"/>
  <c r="A88" i="20"/>
  <c r="Q88" i="29" s="1"/>
  <c r="CU88" i="20" s="1"/>
  <c r="A87" i="20"/>
  <c r="Q87" i="29" s="1"/>
  <c r="CU87" i="20" s="1"/>
  <c r="A87" i="23"/>
  <c r="R87" i="29" s="1"/>
  <c r="CU87" i="23" s="1"/>
  <c r="A122" i="23"/>
  <c r="R122" i="29" s="1"/>
  <c r="CU122" i="23" s="1"/>
  <c r="A122" i="20"/>
  <c r="Q122" i="29" s="1"/>
  <c r="CU122" i="20" s="1"/>
  <c r="A120" i="23"/>
  <c r="R120" i="29" s="1"/>
  <c r="CU120" i="23" s="1"/>
  <c r="A120" i="20"/>
  <c r="Q120" i="29" s="1"/>
  <c r="CU120" i="20" s="1"/>
  <c r="A102" i="23"/>
  <c r="R102" i="29" s="1"/>
  <c r="CU102" i="23" s="1"/>
  <c r="A102" i="20"/>
  <c r="Q102" i="29" s="1"/>
  <c r="CU102" i="20" s="1"/>
  <c r="A127" i="23"/>
  <c r="R127" i="29" s="1"/>
  <c r="CU127" i="23" s="1"/>
  <c r="A127" i="20"/>
  <c r="Q127" i="29" s="1"/>
  <c r="CU127" i="20" s="1"/>
  <c r="D125" i="20" l="1"/>
  <c r="G125" i="20"/>
  <c r="CT125" i="20"/>
  <c r="F125" i="20"/>
  <c r="C125" i="20"/>
  <c r="C125" i="23"/>
  <c r="F125" i="23"/>
  <c r="CT125" i="23"/>
  <c r="D125" i="23"/>
  <c r="G125" i="23"/>
  <c r="A126" i="23"/>
  <c r="R126" i="29" s="1"/>
  <c r="CU126" i="23" s="1"/>
  <c r="A126" i="20"/>
  <c r="Q126" i="29" s="1"/>
  <c r="CU126" i="20" s="1"/>
  <c r="G102" i="20"/>
  <c r="F102" i="20"/>
  <c r="C102" i="20"/>
  <c r="CT102" i="20"/>
  <c r="D102" i="20"/>
  <c r="D102" i="23"/>
  <c r="F102" i="23"/>
  <c r="G102" i="23"/>
  <c r="C102" i="23"/>
  <c r="CT102" i="23"/>
  <c r="CT120" i="20"/>
  <c r="D120" i="20"/>
  <c r="G120" i="20"/>
  <c r="C120" i="20"/>
  <c r="F120" i="20"/>
  <c r="F120" i="23"/>
  <c r="G120" i="23"/>
  <c r="D120" i="23"/>
  <c r="C120" i="23"/>
  <c r="CT120" i="23"/>
  <c r="CT122" i="20"/>
  <c r="F122" i="20"/>
  <c r="C122" i="20"/>
  <c r="G122" i="20"/>
  <c r="D122" i="20"/>
  <c r="F122" i="23"/>
  <c r="C122" i="23"/>
  <c r="G122" i="23"/>
  <c r="D122" i="23"/>
  <c r="CT122" i="23"/>
  <c r="F87" i="23"/>
  <c r="D87" i="23"/>
  <c r="C87" i="23"/>
  <c r="CT87" i="23"/>
  <c r="G87" i="23"/>
  <c r="CT87" i="20"/>
  <c r="F87" i="20"/>
  <c r="C87" i="20"/>
  <c r="G87" i="20"/>
  <c r="D87" i="20"/>
  <c r="G88" i="20"/>
  <c r="CT88" i="20"/>
  <c r="D88" i="20"/>
  <c r="C88" i="20"/>
  <c r="F88" i="20"/>
  <c r="G88" i="23"/>
  <c r="C88" i="23"/>
  <c r="CT88" i="23"/>
  <c r="D88" i="23"/>
  <c r="F88" i="23"/>
  <c r="D94" i="23"/>
  <c r="F94" i="23"/>
  <c r="CT94" i="23"/>
  <c r="C94" i="23"/>
  <c r="G94" i="23"/>
  <c r="C94" i="20"/>
  <c r="CT94" i="20"/>
  <c r="D94" i="20"/>
  <c r="F94" i="20"/>
  <c r="G94" i="20"/>
  <c r="G110" i="20"/>
  <c r="F110" i="20"/>
  <c r="CT110" i="20"/>
  <c r="D110" i="20"/>
  <c r="C110" i="20"/>
  <c r="CT110" i="23"/>
  <c r="F110" i="23"/>
  <c r="G110" i="23"/>
  <c r="C110" i="23"/>
  <c r="D110" i="23"/>
  <c r="D106" i="23"/>
  <c r="G106" i="23"/>
  <c r="F106" i="23"/>
  <c r="CT106" i="23"/>
  <c r="C106" i="23"/>
  <c r="F106" i="20"/>
  <c r="D106" i="20"/>
  <c r="G106" i="20"/>
  <c r="CT106" i="20"/>
  <c r="C106" i="20"/>
  <c r="G91" i="23"/>
  <c r="C91" i="23"/>
  <c r="F91" i="23"/>
  <c r="D91" i="23"/>
  <c r="CT91" i="23"/>
  <c r="CT91" i="20"/>
  <c r="C91" i="20"/>
  <c r="F91" i="20"/>
  <c r="G91" i="20"/>
  <c r="D91" i="20"/>
  <c r="G93" i="23"/>
  <c r="D93" i="23"/>
  <c r="F93" i="23"/>
  <c r="CT93" i="23"/>
  <c r="C93" i="23"/>
  <c r="F93" i="20"/>
  <c r="D93" i="20"/>
  <c r="C93" i="20"/>
  <c r="CT93" i="20"/>
  <c r="G93" i="20"/>
  <c r="CT101" i="20"/>
  <c r="F101" i="20"/>
  <c r="D101" i="20"/>
  <c r="C101" i="20"/>
  <c r="G101" i="20"/>
  <c r="F101" i="23"/>
  <c r="CT101" i="23"/>
  <c r="G101" i="23"/>
  <c r="D101" i="23"/>
  <c r="C101" i="23"/>
  <c r="C103" i="23"/>
  <c r="CT103" i="23"/>
  <c r="D103" i="23"/>
  <c r="F103" i="23"/>
  <c r="G103" i="23"/>
  <c r="CT103" i="20"/>
  <c r="D103" i="20"/>
  <c r="G103" i="20"/>
  <c r="F103" i="20"/>
  <c r="C103" i="20"/>
  <c r="CT92" i="20"/>
  <c r="G92" i="20"/>
  <c r="F92" i="20"/>
  <c r="D92" i="20"/>
  <c r="C92" i="20"/>
  <c r="G92" i="23"/>
  <c r="CT92" i="23"/>
  <c r="F92" i="23"/>
  <c r="D92" i="23"/>
  <c r="C92" i="23"/>
  <c r="F99" i="23"/>
  <c r="C99" i="23"/>
  <c r="D99" i="23"/>
  <c r="G99" i="23"/>
  <c r="CT99" i="23"/>
  <c r="F99" i="20"/>
  <c r="G99" i="20"/>
  <c r="C99" i="20"/>
  <c r="CT99" i="20"/>
  <c r="D99" i="20"/>
  <c r="C83" i="23"/>
  <c r="CT83" i="23"/>
  <c r="G83" i="23"/>
  <c r="F83" i="23"/>
  <c r="D83" i="23"/>
  <c r="CT83" i="20"/>
  <c r="F83" i="20"/>
  <c r="D83" i="20"/>
  <c r="C83" i="20"/>
  <c r="G83" i="20"/>
  <c r="F115" i="23"/>
  <c r="D115" i="23"/>
  <c r="G115" i="23"/>
  <c r="CT115" i="23"/>
  <c r="C115" i="23"/>
  <c r="D115" i="20"/>
  <c r="F115" i="20"/>
  <c r="CT115" i="20"/>
  <c r="C115" i="20"/>
  <c r="G115" i="20"/>
  <c r="D116" i="20"/>
  <c r="G116" i="20"/>
  <c r="C116" i="20"/>
  <c r="F116" i="20"/>
  <c r="CT116" i="20"/>
  <c r="F116" i="23"/>
  <c r="C116" i="23"/>
  <c r="D116" i="23"/>
  <c r="G116" i="23"/>
  <c r="CT116" i="23"/>
  <c r="C82" i="23"/>
  <c r="D82" i="23"/>
  <c r="G82" i="23"/>
  <c r="CT82" i="23"/>
  <c r="F82" i="23"/>
  <c r="F82" i="20"/>
  <c r="G82" i="20"/>
  <c r="CT82" i="20"/>
  <c r="D82" i="20"/>
  <c r="C82" i="20"/>
  <c r="G105" i="23"/>
  <c r="C105" i="23"/>
  <c r="D105" i="23"/>
  <c r="F105" i="23"/>
  <c r="CT105" i="23"/>
  <c r="C105" i="20"/>
  <c r="G105" i="20"/>
  <c r="D105" i="20"/>
  <c r="CT105" i="20"/>
  <c r="F105" i="20"/>
  <c r="C108" i="20"/>
  <c r="CT108" i="20"/>
  <c r="F108" i="20"/>
  <c r="G108" i="20"/>
  <c r="D108" i="20"/>
  <c r="G108" i="23"/>
  <c r="F108" i="23"/>
  <c r="C108" i="23"/>
  <c r="D108" i="23"/>
  <c r="CT108" i="23"/>
  <c r="D112" i="20"/>
  <c r="F112" i="20"/>
  <c r="G112" i="20"/>
  <c r="CT112" i="20"/>
  <c r="C112" i="20"/>
  <c r="G112" i="23"/>
  <c r="D112" i="23"/>
  <c r="F112" i="23"/>
  <c r="C112" i="23"/>
  <c r="CT112" i="23"/>
  <c r="C107" i="20"/>
  <c r="CT107" i="20"/>
  <c r="D107" i="20"/>
  <c r="F107" i="20"/>
  <c r="G107" i="20"/>
  <c r="F107" i="23"/>
  <c r="CT107" i="23"/>
  <c r="C107" i="23"/>
  <c r="G107" i="23"/>
  <c r="D107" i="23"/>
  <c r="D121" i="20"/>
  <c r="F121" i="20"/>
  <c r="G121" i="20"/>
  <c r="CT121" i="20"/>
  <c r="C121" i="20"/>
  <c r="C121" i="23"/>
  <c r="CT121" i="23"/>
  <c r="G121" i="23"/>
  <c r="F121" i="23"/>
  <c r="D121" i="23"/>
  <c r="CT100" i="20"/>
  <c r="F100" i="20"/>
  <c r="C100" i="20"/>
  <c r="D100" i="20"/>
  <c r="G100" i="20"/>
  <c r="G100" i="23"/>
  <c r="C100" i="23"/>
  <c r="F100" i="23"/>
  <c r="CT100" i="23"/>
  <c r="D100" i="23"/>
  <c r="C123" i="20"/>
  <c r="D123" i="20"/>
  <c r="CT123" i="20"/>
  <c r="G123" i="20"/>
  <c r="F123" i="20"/>
  <c r="CT123" i="23"/>
  <c r="F123" i="23"/>
  <c r="D123" i="23"/>
  <c r="G123" i="23"/>
  <c r="C123" i="23"/>
  <c r="C118" i="20"/>
  <c r="G118" i="20"/>
  <c r="F118" i="20"/>
  <c r="CT118" i="20"/>
  <c r="D118" i="20"/>
  <c r="C118" i="23"/>
  <c r="D118" i="23"/>
  <c r="G118" i="23"/>
  <c r="CT118" i="23"/>
  <c r="F118" i="23"/>
  <c r="C81" i="20"/>
  <c r="G81" i="20"/>
  <c r="CT81" i="20"/>
  <c r="F81" i="20"/>
  <c r="D81" i="20"/>
  <c r="C81" i="23"/>
  <c r="D81" i="23"/>
  <c r="F81" i="23"/>
  <c r="CT81" i="23"/>
  <c r="G81" i="23"/>
  <c r="G119" i="20"/>
  <c r="F119" i="20"/>
  <c r="D119" i="20"/>
  <c r="C119" i="20"/>
  <c r="CT119" i="20"/>
  <c r="C119" i="23"/>
  <c r="D119" i="23"/>
  <c r="F119" i="23"/>
  <c r="G119" i="23"/>
  <c r="CT119" i="23"/>
  <c r="CT109" i="20"/>
  <c r="D109" i="20"/>
  <c r="C109" i="20"/>
  <c r="G109" i="20"/>
  <c r="F109" i="20"/>
  <c r="D109" i="23"/>
  <c r="C109" i="23"/>
  <c r="CT109" i="23"/>
  <c r="F109" i="23"/>
  <c r="G109" i="23"/>
  <c r="D111" i="20"/>
  <c r="G111" i="20"/>
  <c r="C111" i="20"/>
  <c r="F111" i="20"/>
  <c r="CT111" i="20"/>
  <c r="F111" i="23"/>
  <c r="C111" i="23"/>
  <c r="D111" i="23"/>
  <c r="CT111" i="23"/>
  <c r="G111" i="23"/>
  <c r="D85" i="23"/>
  <c r="C85" i="23"/>
  <c r="G85" i="23"/>
  <c r="F85" i="23"/>
  <c r="CT85" i="23"/>
  <c r="CT85" i="20"/>
  <c r="F85" i="20"/>
  <c r="G85" i="20"/>
  <c r="D85" i="20"/>
  <c r="C85" i="20"/>
  <c r="F89" i="20"/>
  <c r="C89" i="20"/>
  <c r="D89" i="20"/>
  <c r="CT89" i="20"/>
  <c r="G89" i="20"/>
  <c r="C89" i="23"/>
  <c r="G89" i="23"/>
  <c r="D89" i="23"/>
  <c r="F89" i="23"/>
  <c r="CT89" i="23"/>
  <c r="G114" i="23"/>
  <c r="CT114" i="23"/>
  <c r="C114" i="23"/>
  <c r="D114" i="23"/>
  <c r="F114" i="23"/>
  <c r="F114" i="20"/>
  <c r="G114" i="20"/>
  <c r="D114" i="20"/>
  <c r="C114" i="20"/>
  <c r="CT114" i="20"/>
  <c r="G113" i="20"/>
  <c r="F113" i="20"/>
  <c r="D113" i="20"/>
  <c r="C113" i="20"/>
  <c r="CT113" i="20"/>
  <c r="F113" i="23"/>
  <c r="CT113" i="23"/>
  <c r="G113" i="23"/>
  <c r="D113" i="23"/>
  <c r="C113" i="23"/>
  <c r="D95" i="20"/>
  <c r="G95" i="20"/>
  <c r="F95" i="20"/>
  <c r="C95" i="20"/>
  <c r="CT95" i="20"/>
  <c r="D95" i="23"/>
  <c r="CT95" i="23"/>
  <c r="C95" i="23"/>
  <c r="F95" i="23"/>
  <c r="G95" i="23"/>
  <c r="C97" i="20"/>
  <c r="D97" i="20"/>
  <c r="CT97" i="20"/>
  <c r="G97" i="20"/>
  <c r="F97" i="20"/>
  <c r="G97" i="23"/>
  <c r="C97" i="23"/>
  <c r="CT97" i="23"/>
  <c r="F97" i="23"/>
  <c r="D97" i="23"/>
  <c r="D96" i="23"/>
  <c r="G96" i="23"/>
  <c r="CT96" i="23"/>
  <c r="C96" i="23"/>
  <c r="F96" i="23"/>
  <c r="D96" i="20"/>
  <c r="G96" i="20"/>
  <c r="C96" i="20"/>
  <c r="CT96" i="20"/>
  <c r="F96" i="20"/>
  <c r="G104" i="23"/>
  <c r="F104" i="23"/>
  <c r="C104" i="23"/>
  <c r="CT104" i="23"/>
  <c r="D104" i="23"/>
  <c r="F104" i="20"/>
  <c r="CT104" i="20"/>
  <c r="D104" i="20"/>
  <c r="C104" i="20"/>
  <c r="G104" i="20"/>
  <c r="F90" i="23"/>
  <c r="C90" i="23"/>
  <c r="D90" i="23"/>
  <c r="CT90" i="23"/>
  <c r="G90" i="23"/>
  <c r="C90" i="20"/>
  <c r="G90" i="20"/>
  <c r="D90" i="20"/>
  <c r="CT90" i="20"/>
  <c r="F90" i="20"/>
  <c r="CT86" i="20"/>
  <c r="F86" i="20"/>
  <c r="D86" i="20"/>
  <c r="G86" i="20"/>
  <c r="C86" i="20"/>
  <c r="F86" i="23"/>
  <c r="G86" i="23"/>
  <c r="CT86" i="23"/>
  <c r="D86" i="23"/>
  <c r="C86" i="23"/>
  <c r="G84" i="23"/>
  <c r="D84" i="23"/>
  <c r="F84" i="23"/>
  <c r="C84" i="23"/>
  <c r="CT84" i="23"/>
  <c r="C84" i="20"/>
  <c r="F84" i="20"/>
  <c r="G84" i="20"/>
  <c r="D84" i="20"/>
  <c r="CT84" i="20"/>
  <c r="F117" i="23"/>
  <c r="D117" i="23"/>
  <c r="G117" i="23"/>
  <c r="C117" i="23"/>
  <c r="CT117" i="23"/>
  <c r="C117" i="20"/>
  <c r="F117" i="20"/>
  <c r="CT117" i="20"/>
  <c r="G117" i="20"/>
  <c r="D117" i="20"/>
  <c r="CT98" i="23"/>
  <c r="C98" i="23"/>
  <c r="F98" i="23"/>
  <c r="D98" i="23"/>
  <c r="G98" i="23"/>
  <c r="C98" i="20"/>
  <c r="F98" i="20"/>
  <c r="D98" i="20"/>
  <c r="CT98" i="20"/>
  <c r="G98" i="20"/>
  <c r="G124" i="20"/>
  <c r="C124" i="20"/>
  <c r="CT124" i="20"/>
  <c r="F124" i="20"/>
  <c r="D124" i="20"/>
  <c r="F124" i="23"/>
  <c r="G124" i="23"/>
  <c r="CT124" i="23"/>
  <c r="D124" i="23"/>
  <c r="C124" i="23"/>
  <c r="CT127" i="20"/>
  <c r="D127" i="20"/>
  <c r="F127" i="20"/>
  <c r="C127" i="20"/>
  <c r="G127" i="20"/>
  <c r="F127" i="23"/>
  <c r="CT127" i="23"/>
  <c r="C127" i="23"/>
  <c r="G127" i="23"/>
  <c r="D127" i="23"/>
  <c r="CT126" i="20" l="1"/>
  <c r="C126" i="20"/>
  <c r="D126" i="20"/>
  <c r="G126" i="20"/>
  <c r="F126" i="20"/>
  <c r="G126" i="23"/>
  <c r="CT126" i="23"/>
  <c r="D126" i="23"/>
  <c r="F126" i="23"/>
  <c r="C126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<sst xmlns="http://schemas.openxmlformats.org/spreadsheetml/2006/main" count="1120" uniqueCount="296">
  <si>
    <t>IDA</t>
  </si>
  <si>
    <t>VOLTA</t>
  </si>
  <si>
    <t>TÉRM.</t>
  </si>
  <si>
    <t>T. VIAG.</t>
  </si>
  <si>
    <t>LINHA</t>
  </si>
  <si>
    <t>DESLOCAMENTO</t>
  </si>
  <si>
    <t>1º TURNO</t>
  </si>
  <si>
    <t>2º TURNO</t>
  </si>
  <si>
    <t>HORA</t>
  </si>
  <si>
    <t>FREQ.</t>
  </si>
  <si>
    <t>00/00/0000</t>
  </si>
  <si>
    <t xml:space="preserve">FREQUÊNCIA DA LINHA </t>
  </si>
  <si>
    <t>VEIC.</t>
  </si>
  <si>
    <t>Ida</t>
  </si>
  <si>
    <t>Tab</t>
  </si>
  <si>
    <t>Início</t>
  </si>
  <si>
    <t>Térm.</t>
  </si>
  <si>
    <t>Volta</t>
  </si>
  <si>
    <t>Trip</t>
  </si>
  <si>
    <t>Térm</t>
  </si>
  <si>
    <t>T. Viag</t>
  </si>
  <si>
    <t>Linha</t>
  </si>
  <si>
    <t>Veíc</t>
  </si>
  <si>
    <t>TURNO</t>
  </si>
  <si>
    <t>Tabela</t>
  </si>
  <si>
    <t>Horario_Partida</t>
  </si>
  <si>
    <t>Tolerancia_Atraso1</t>
  </si>
  <si>
    <t>Tolerancia_Adiantamento1</t>
  </si>
  <si>
    <t>Horario_Chegada</t>
  </si>
  <si>
    <t>Tolerancia_Atraso2</t>
  </si>
  <si>
    <t>Tolerancia_Adiantamento2</t>
  </si>
  <si>
    <t>ponto1</t>
  </si>
  <si>
    <t>passagem1</t>
  </si>
  <si>
    <t>permanencia1</t>
  </si>
  <si>
    <t>ponto2</t>
  </si>
  <si>
    <t>passagem2</t>
  </si>
  <si>
    <t>permanencia2</t>
  </si>
  <si>
    <t>ponto3</t>
  </si>
  <si>
    <t>passagem3</t>
  </si>
  <si>
    <t>permanencia3</t>
  </si>
  <si>
    <t>ponto4</t>
  </si>
  <si>
    <t>passagem4</t>
  </si>
  <si>
    <t>permanencia4</t>
  </si>
  <si>
    <t>ponto5</t>
  </si>
  <si>
    <t>passagem5</t>
  </si>
  <si>
    <t>permanencia5</t>
  </si>
  <si>
    <t>ponto6</t>
  </si>
  <si>
    <t>passagem6</t>
  </si>
  <si>
    <t>permanencia6</t>
  </si>
  <si>
    <t>ponto7</t>
  </si>
  <si>
    <t>passagem7</t>
  </si>
  <si>
    <t>permanencia7</t>
  </si>
  <si>
    <t>ponto8</t>
  </si>
  <si>
    <t>passagem8</t>
  </si>
  <si>
    <t>permanencia8</t>
  </si>
  <si>
    <t>ponto9</t>
  </si>
  <si>
    <t>passagem9</t>
  </si>
  <si>
    <t>permanencia9</t>
  </si>
  <si>
    <t>ponto10</t>
  </si>
  <si>
    <t>passagem10</t>
  </si>
  <si>
    <t>permanencia10</t>
  </si>
  <si>
    <t>ponto11</t>
  </si>
  <si>
    <t>passagem11</t>
  </si>
  <si>
    <t>permanencia11</t>
  </si>
  <si>
    <t>ponto12</t>
  </si>
  <si>
    <t>passagem12</t>
  </si>
  <si>
    <t>permanencia12</t>
  </si>
  <si>
    <t>ponto13</t>
  </si>
  <si>
    <t>passagem13</t>
  </si>
  <si>
    <t>permanencia13</t>
  </si>
  <si>
    <t>ponto14</t>
  </si>
  <si>
    <t>passagem14</t>
  </si>
  <si>
    <t>permanencia14</t>
  </si>
  <si>
    <t>ponto15</t>
  </si>
  <si>
    <t>passagem15</t>
  </si>
  <si>
    <t>permanencia15</t>
  </si>
  <si>
    <t>ponto16</t>
  </si>
  <si>
    <t>passagem16</t>
  </si>
  <si>
    <t>permanencia16</t>
  </si>
  <si>
    <t>ponto17</t>
  </si>
  <si>
    <t>passagem17</t>
  </si>
  <si>
    <t>permanencia17</t>
  </si>
  <si>
    <t>ponto18</t>
  </si>
  <si>
    <t>passagem18</t>
  </si>
  <si>
    <t>permanencia18</t>
  </si>
  <si>
    <t>ponto19</t>
  </si>
  <si>
    <t>passagem19</t>
  </si>
  <si>
    <t>permanencia19</t>
  </si>
  <si>
    <t>ponto20</t>
  </si>
  <si>
    <t>passagem20</t>
  </si>
  <si>
    <t>permanencia20</t>
  </si>
  <si>
    <t>ponto21</t>
  </si>
  <si>
    <t>passagem21</t>
  </si>
  <si>
    <t>permanencia21</t>
  </si>
  <si>
    <t>ponto22</t>
  </si>
  <si>
    <t>passagem22</t>
  </si>
  <si>
    <t>permanencia22</t>
  </si>
  <si>
    <t>ponto23</t>
  </si>
  <si>
    <t>passagem23</t>
  </si>
  <si>
    <t>permanencia23</t>
  </si>
  <si>
    <t>ponto24</t>
  </si>
  <si>
    <t>passagem24</t>
  </si>
  <si>
    <t>permanencia24</t>
  </si>
  <si>
    <t>ponto25</t>
  </si>
  <si>
    <t>passagem25</t>
  </si>
  <si>
    <t>permanencia25</t>
  </si>
  <si>
    <t>ponto26</t>
  </si>
  <si>
    <t>passagem26</t>
  </si>
  <si>
    <t>permanencia26</t>
  </si>
  <si>
    <t>ponto27</t>
  </si>
  <si>
    <t>passagem27</t>
  </si>
  <si>
    <t>permanencia27</t>
  </si>
  <si>
    <t>ponto28</t>
  </si>
  <si>
    <t>passagem28</t>
  </si>
  <si>
    <t>permanencia28</t>
  </si>
  <si>
    <t>ponto29</t>
  </si>
  <si>
    <t>passagem29</t>
  </si>
  <si>
    <t>permanencia29</t>
  </si>
  <si>
    <t>ponto30</t>
  </si>
  <si>
    <t>passagem30</t>
  </si>
  <si>
    <t>permanencia30</t>
  </si>
  <si>
    <t>empresa</t>
  </si>
  <si>
    <t>XXX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</si>
  <si>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</t>
    </r>
    <r>
      <rPr>
        <b/>
        <sz val="18"/>
        <color theme="1"/>
        <rFont val="Calibri"/>
        <family val="2"/>
        <scheme val="minor"/>
      </rPr>
      <t xml:space="preserve">, LINHA </t>
    </r>
  </si>
  <si>
    <t>DOMINGO</t>
  </si>
  <si>
    <t xml:space="preserve">VIAGEM REALIZADA POR OPERADOR DA LINHA  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</si>
  <si>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</t>
    </r>
    <r>
      <rPr>
        <b/>
        <sz val="18"/>
        <color theme="1"/>
        <rFont val="Calibri"/>
        <family val="2"/>
        <scheme val="minor"/>
      </rPr>
      <t xml:space="preserve">, LINHA </t>
    </r>
  </si>
  <si>
    <t>SÁBADO</t>
  </si>
  <si>
    <t>JORN.</t>
  </si>
  <si>
    <t>Nº  Ordem</t>
  </si>
  <si>
    <t>1º Turno</t>
  </si>
  <si>
    <t>2º Turno</t>
  </si>
  <si>
    <t>Desloc</t>
  </si>
  <si>
    <t>Inicio</t>
  </si>
  <si>
    <t>Término</t>
  </si>
  <si>
    <t>Jorna</t>
  </si>
  <si>
    <t>cod_modelo_veiculo</t>
  </si>
  <si>
    <t>CONVENCIONAL</t>
  </si>
  <si>
    <t>TAB</t>
  </si>
  <si>
    <t>Modelo</t>
  </si>
  <si>
    <t>Descrição</t>
  </si>
  <si>
    <t>Código</t>
  </si>
  <si>
    <t>Abreviação</t>
  </si>
  <si>
    <t>Articulado</t>
  </si>
  <si>
    <t>ARTICULADO</t>
  </si>
  <si>
    <t>A</t>
  </si>
  <si>
    <t>Padrão</t>
  </si>
  <si>
    <t>A - AR</t>
  </si>
  <si>
    <t>Bi articulado</t>
  </si>
  <si>
    <t>BI - AR</t>
  </si>
  <si>
    <t>C - AR 05 P</t>
  </si>
  <si>
    <t>C - 05 P</t>
  </si>
  <si>
    <t>C</t>
  </si>
  <si>
    <t>C - AR</t>
  </si>
  <si>
    <t>C - AR P.E</t>
  </si>
  <si>
    <t>CONVENCIONAL P.E</t>
  </si>
  <si>
    <t>C - P.E</t>
  </si>
  <si>
    <t xml:space="preserve">Miniônibus – Micrão </t>
  </si>
  <si>
    <t>MICRÃO</t>
  </si>
  <si>
    <t>Mi - M</t>
  </si>
  <si>
    <t>M - AR</t>
  </si>
  <si>
    <t>Mi - M.C</t>
  </si>
  <si>
    <t>MICRO</t>
  </si>
  <si>
    <t>MC</t>
  </si>
  <si>
    <t>Miniônibus - Micro</t>
  </si>
  <si>
    <t>Mi - MC TRA</t>
  </si>
  <si>
    <t>SUPER PADRON</t>
  </si>
  <si>
    <t>SP</t>
  </si>
  <si>
    <t>TRANSPORTA</t>
  </si>
  <si>
    <t>Mi MC - TRA</t>
  </si>
  <si>
    <t>TRUCADO</t>
  </si>
  <si>
    <t>T</t>
  </si>
  <si>
    <t>T - AR</t>
  </si>
  <si>
    <t>TRUCADO D</t>
  </si>
  <si>
    <t>T - D</t>
  </si>
  <si>
    <t>Nº Ordem</t>
  </si>
  <si>
    <t>ARTICULADO - AR</t>
  </si>
  <si>
    <t>BI - ARTICULADO</t>
  </si>
  <si>
    <t>CONVENCIONAL - AR 05 PORTAS</t>
  </si>
  <si>
    <t>CONVENCIONAL  05 PORTAS</t>
  </si>
  <si>
    <t>CONVENCIONAL - AR</t>
  </si>
  <si>
    <t>CONVENCIONAL - AR P.E</t>
  </si>
  <si>
    <t>FRETAMENTO</t>
  </si>
  <si>
    <t>MICRÃO - AR</t>
  </si>
  <si>
    <t>MICRÃO COBRADOR</t>
  </si>
  <si>
    <t>MICRO TRANSPORTA</t>
  </si>
  <si>
    <t>TRUCADO - AR</t>
  </si>
  <si>
    <t>FR</t>
  </si>
  <si>
    <t>1.1</t>
  </si>
  <si>
    <t>2.1</t>
  </si>
  <si>
    <t>3.1</t>
  </si>
  <si>
    <t>4.1</t>
  </si>
  <si>
    <t>5.1</t>
  </si>
  <si>
    <t>6.1</t>
  </si>
  <si>
    <t>7.1</t>
  </si>
  <si>
    <t>8.1</t>
  </si>
  <si>
    <t>9.1</t>
  </si>
  <si>
    <t>10.1</t>
  </si>
  <si>
    <t>11.1</t>
  </si>
  <si>
    <t>12.1</t>
  </si>
  <si>
    <t>13.1</t>
  </si>
  <si>
    <t>14.1</t>
  </si>
  <si>
    <t>15.1</t>
  </si>
  <si>
    <t>16.1</t>
  </si>
  <si>
    <t>17.1</t>
  </si>
  <si>
    <t>18.1</t>
  </si>
  <si>
    <t>19.1</t>
  </si>
  <si>
    <t>20.1</t>
  </si>
  <si>
    <t>21.1</t>
  </si>
  <si>
    <t>22.1</t>
  </si>
  <si>
    <t>1.2</t>
  </si>
  <si>
    <t>2.2</t>
  </si>
  <si>
    <t>3.2</t>
  </si>
  <si>
    <t>4.2</t>
  </si>
  <si>
    <t>5.2</t>
  </si>
  <si>
    <t>6.2</t>
  </si>
  <si>
    <t>7.2</t>
  </si>
  <si>
    <t>8.2</t>
  </si>
  <si>
    <t>9.2</t>
  </si>
  <si>
    <t>10.2</t>
  </si>
  <si>
    <t>11.2</t>
  </si>
  <si>
    <t>12.2</t>
  </si>
  <si>
    <t>13.2</t>
  </si>
  <si>
    <t>14.2</t>
  </si>
  <si>
    <t>15.2</t>
  </si>
  <si>
    <t>16.2</t>
  </si>
  <si>
    <t>17.2</t>
  </si>
  <si>
    <t>18.2</t>
  </si>
  <si>
    <t>19.2</t>
  </si>
  <si>
    <t>20.2</t>
  </si>
  <si>
    <t>21.2</t>
  </si>
  <si>
    <t>22.2</t>
  </si>
  <si>
    <t>DESCRIÇÃO</t>
  </si>
  <si>
    <t>Empresa</t>
  </si>
  <si>
    <t>1ºTurno</t>
  </si>
  <si>
    <t>2ºTurno</t>
  </si>
  <si>
    <t>Categoria</t>
  </si>
  <si>
    <t>COROADO</t>
  </si>
  <si>
    <t>SÃO PEDRO</t>
  </si>
  <si>
    <t>INTEGRAÇÃO</t>
  </si>
  <si>
    <t>VIA VERDE</t>
  </si>
  <si>
    <t>GLOBAL</t>
  </si>
  <si>
    <t>LÍDER</t>
  </si>
  <si>
    <t>VEGA</t>
  </si>
  <si>
    <t>TAB - 0101</t>
  </si>
  <si>
    <t>TAB - 0102</t>
  </si>
  <si>
    <t>TAB - 0103</t>
  </si>
  <si>
    <t>TAB - 0104</t>
  </si>
  <si>
    <t>TAB - 0105</t>
  </si>
  <si>
    <t>TAB - 0106</t>
  </si>
  <si>
    <t>TAB - 0107</t>
  </si>
  <si>
    <t>TAB - 0108</t>
  </si>
  <si>
    <t>TAB - 0109</t>
  </si>
  <si>
    <t>TAB - 0110</t>
  </si>
  <si>
    <t>TAB - 0111</t>
  </si>
  <si>
    <t>TAB - 0112</t>
  </si>
  <si>
    <t>TAB - 0113</t>
  </si>
  <si>
    <t>TAB - 0114</t>
  </si>
  <si>
    <t>TAB - 0115</t>
  </si>
  <si>
    <t>TAB - 0116</t>
  </si>
  <si>
    <t>TAB - 0117</t>
  </si>
  <si>
    <t>TAB - 0118</t>
  </si>
  <si>
    <t>TAB - 0119</t>
  </si>
  <si>
    <t>TAB - 0120</t>
  </si>
  <si>
    <t>TAB - 0121</t>
  </si>
  <si>
    <t>TAB - 0122</t>
  </si>
  <si>
    <t>TAB - 0201</t>
  </si>
  <si>
    <t>TAB - 0202</t>
  </si>
  <si>
    <t>TAB - 0203</t>
  </si>
  <si>
    <t>TAB - 0204</t>
  </si>
  <si>
    <t>TAB - 0205</t>
  </si>
  <si>
    <t>TAB - 0206</t>
  </si>
  <si>
    <t>TAB - 0207</t>
  </si>
  <si>
    <t>TAB - 0208</t>
  </si>
  <si>
    <t>TAB - 0209</t>
  </si>
  <si>
    <t>TAB - 0210</t>
  </si>
  <si>
    <t>TAB - 0211</t>
  </si>
  <si>
    <t>TAB - 0212</t>
  </si>
  <si>
    <t>TAB - 0213</t>
  </si>
  <si>
    <t>TAB - 0214</t>
  </si>
  <si>
    <t>TAB - 0215</t>
  </si>
  <si>
    <t>TAB - 0216</t>
  </si>
  <si>
    <t>TAB - 0217</t>
  </si>
  <si>
    <t>TAB - 0218</t>
  </si>
  <si>
    <t>TAB - 0219</t>
  </si>
  <si>
    <t>TAB - 0220</t>
  </si>
  <si>
    <t>TAB - 0221</t>
  </si>
  <si>
    <t>TAB - 0222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</si>
  <si>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</t>
    </r>
    <r>
      <rPr>
        <b/>
        <sz val="18"/>
        <color theme="1"/>
        <rFont val="Calibri"/>
        <family val="2"/>
        <scheme val="minor"/>
      </rPr>
      <t>, LINHA 094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</si>
  <si>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</t>
    </r>
    <r>
      <rPr>
        <b/>
        <sz val="18"/>
        <color theme="1"/>
        <rFont val="Calibri"/>
        <family val="2"/>
        <scheme val="minor"/>
      </rPr>
      <t>, LINHA 093</t>
    </r>
  </si>
  <si>
    <t>FREQUÊNCIA DA LINHA 093</t>
  </si>
  <si>
    <t>FREQUÊNCIA DA LINHA 094</t>
  </si>
  <si>
    <t>VIAGEM REALIZADA POR OPERADOR DA LINHA 094</t>
  </si>
  <si>
    <t>VIAGEM REALIZADA POR OPERADOR DA LINHA 093</t>
  </si>
  <si>
    <t>15/02/2026 - SEM COBRADOR</t>
  </si>
  <si>
    <t>CONVENCIONAL 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</si>
</sst>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00"/>
  </numFmts>
  <fonts count="2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777777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2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0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25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20" fontId="5" fillId="0" borderId="7" xfId="0" applyNumberFormat="1" applyFont="1" applyBorder="1" applyAlignment="1">
      <alignment horizontal="center" vertical="center"/>
    </xf>
    <xf numFmtId="20" fontId="5" fillId="0" borderId="8" xfId="0" applyNumberFormat="1" applyFont="1" applyBorder="1" applyAlignment="1">
      <alignment horizontal="center" vertical="center"/>
    </xf>
    <xf numFmtId="20" fontId="5" fillId="0" borderId="10" xfId="0" applyNumberFormat="1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20" fontId="4" fillId="0" borderId="8" xfId="0" applyNumberFormat="1" applyFont="1" applyBorder="1" applyAlignment="1">
      <alignment horizontal="center" vertical="center"/>
    </xf>
    <xf numFmtId="20" fontId="4" fillId="0" borderId="9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20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46" fontId="0" fillId="0" borderId="0" xfId="0" applyNumberFormat="1" applyFont="1" applyBorder="1" applyAlignment="1">
      <alignment horizontal="center" vertical="center" wrapText="1"/>
    </xf>
    <xf numFmtId="20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17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20" fontId="0" fillId="0" borderId="0" xfId="0" applyNumberFormat="1"/>
    <xf numFmtId="164" fontId="0" fillId="0" borderId="0" xfId="0" applyNumberFormat="1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horizontal="centerContinuous" vertical="center"/>
    </xf>
    <xf numFmtId="0" fontId="1" fillId="0" borderId="3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0" fontId="4" fillId="0" borderId="3" xfId="0" applyFont="1" applyBorder="1" applyAlignment="1">
      <alignment horizontal="centerContinuous" vertical="center"/>
    </xf>
    <xf numFmtId="0" fontId="4" fillId="0" borderId="4" xfId="0" applyFont="1" applyBorder="1" applyAlignment="1">
      <alignment horizontal="centerContinuous" vertical="center"/>
    </xf>
    <xf numFmtId="20" fontId="1" fillId="2" borderId="2" xfId="0" applyNumberFormat="1" applyFont="1" applyFill="1" applyBorder="1" applyAlignment="1">
      <alignment horizontal="centerContinuous" vertical="center"/>
    </xf>
    <xf numFmtId="20" fontId="1" fillId="3" borderId="2" xfId="0" applyNumberFormat="1" applyFont="1" applyFill="1" applyBorder="1" applyAlignment="1">
      <alignment horizontal="centerContinuous" vertical="center"/>
    </xf>
    <xf numFmtId="20" fontId="1" fillId="3" borderId="4" xfId="0" applyNumberFormat="1" applyFont="1" applyFill="1" applyBorder="1" applyAlignment="1">
      <alignment horizontal="centerContinuous" vertical="center"/>
    </xf>
    <xf numFmtId="0" fontId="1" fillId="2" borderId="3" xfId="0" applyFont="1" applyFill="1" applyBorder="1" applyAlignment="1">
      <alignment horizontal="centerContinuous" vertical="center"/>
    </xf>
    <xf numFmtId="0" fontId="1" fillId="2" borderId="4" xfId="0" applyFont="1" applyFill="1" applyBorder="1" applyAlignment="1">
      <alignment horizontal="centerContinuous" vertical="center"/>
    </xf>
    <xf numFmtId="20" fontId="5" fillId="0" borderId="1" xfId="0" applyNumberFormat="1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20" fontId="4" fillId="0" borderId="11" xfId="0" applyNumberFormat="1" applyFont="1" applyBorder="1" applyAlignment="1">
      <alignment horizontal="center"/>
    </xf>
    <xf numFmtId="20" fontId="4" fillId="2" borderId="2" xfId="0" applyNumberFormat="1" applyFont="1" applyFill="1" applyBorder="1" applyAlignment="1">
      <alignment horizontal="centerContinuous" vertical="center"/>
    </xf>
    <xf numFmtId="20" fontId="4" fillId="2" borderId="4" xfId="0" applyNumberFormat="1" applyFont="1" applyFill="1" applyBorder="1" applyAlignment="1">
      <alignment horizontal="centerContinuous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20" fontId="5" fillId="0" borderId="17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0" fontId="4" fillId="6" borderId="6" xfId="0" applyNumberFormat="1" applyFont="1" applyFill="1" applyBorder="1" applyAlignment="1">
      <alignment horizontal="center" vertical="distributed"/>
    </xf>
    <xf numFmtId="20" fontId="4" fillId="6" borderId="12" xfId="0" applyNumberFormat="1" applyFont="1" applyFill="1" applyBorder="1" applyAlignment="1">
      <alignment horizontal="center" vertical="distributed"/>
    </xf>
    <xf numFmtId="20" fontId="5" fillId="0" borderId="19" xfId="0" applyNumberFormat="1" applyFont="1" applyBorder="1" applyAlignment="1">
      <alignment horizontal="center" vertical="center"/>
    </xf>
    <xf numFmtId="20" fontId="5" fillId="0" borderId="20" xfId="0" applyNumberFormat="1" applyFont="1" applyBorder="1" applyAlignment="1">
      <alignment horizontal="center" vertical="center"/>
    </xf>
    <xf numFmtId="20" fontId="1" fillId="0" borderId="20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20" fontId="5" fillId="0" borderId="22" xfId="0" applyNumberFormat="1" applyFon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0" fillId="0" borderId="17" xfId="1" applyFont="1" applyFill="1" applyBorder="1" applyAlignment="1">
      <alignment horizontal="center" vertical="center"/>
    </xf>
    <xf numFmtId="0" fontId="10" fillId="0" borderId="23" xfId="1" applyFont="1" applyFill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20" fontId="13" fillId="0" borderId="0" xfId="0" applyNumberFormat="1" applyFont="1" applyAlignment="1">
      <alignment horizontal="center" vertical="center"/>
    </xf>
    <xf numFmtId="0" fontId="13" fillId="0" borderId="0" xfId="0" applyFont="1"/>
    <xf numFmtId="20" fontId="11" fillId="0" borderId="17" xfId="0" applyNumberFormat="1" applyFont="1" applyFill="1" applyBorder="1" applyAlignment="1">
      <alignment horizontal="center" vertical="center"/>
    </xf>
    <xf numFmtId="20" fontId="11" fillId="0" borderId="1" xfId="0" applyNumberFormat="1" applyFont="1" applyFill="1" applyBorder="1" applyAlignment="1">
      <alignment horizontal="center" vertical="center"/>
    </xf>
    <xf numFmtId="20" fontId="11" fillId="7" borderId="1" xfId="0" applyNumberFormat="1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20" fontId="0" fillId="0" borderId="0" xfId="0" applyNumberFormat="1" applyFont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20" fontId="13" fillId="8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4" fillId="8" borderId="24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20" fontId="13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20" fontId="5" fillId="0" borderId="27" xfId="0" applyNumberFormat="1" applyFont="1" applyBorder="1" applyAlignment="1">
      <alignment horizontal="center" vertical="center"/>
    </xf>
    <xf numFmtId="20" fontId="5" fillId="0" borderId="23" xfId="0" applyNumberFormat="1" applyFont="1" applyBorder="1" applyAlignment="1">
      <alignment horizontal="center" vertical="center"/>
    </xf>
    <xf numFmtId="20" fontId="1" fillId="0" borderId="23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" fillId="2" borderId="25" xfId="0" applyFont="1" applyFill="1" applyBorder="1" applyAlignment="1">
      <alignment horizontal="centerContinuous" vertical="center"/>
    </xf>
    <xf numFmtId="0" fontId="1" fillId="2" borderId="26" xfId="0" applyFont="1" applyFill="1" applyBorder="1" applyAlignment="1">
      <alignment horizontal="centerContinuous" vertical="center"/>
    </xf>
    <xf numFmtId="20" fontId="1" fillId="3" borderId="15" xfId="0" applyNumberFormat="1" applyFont="1" applyFill="1" applyBorder="1" applyAlignment="1">
      <alignment horizontal="centerContinuous" vertical="center"/>
    </xf>
    <xf numFmtId="20" fontId="1" fillId="3" borderId="26" xfId="0" applyNumberFormat="1" applyFont="1" applyFill="1" applyBorder="1" applyAlignment="1">
      <alignment horizontal="centerContinuous" vertical="center"/>
    </xf>
    <xf numFmtId="20" fontId="5" fillId="0" borderId="29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vertical="center"/>
    </xf>
    <xf numFmtId="20" fontId="4" fillId="0" borderId="11" xfId="0" applyNumberFormat="1" applyFont="1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0" fontId="15" fillId="0" borderId="0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46" fontId="15" fillId="0" borderId="0" xfId="0" applyNumberFormat="1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Continuous" vertical="center"/>
    </xf>
    <xf numFmtId="0" fontId="2" fillId="0" borderId="2" xfId="0" applyFont="1" applyBorder="1" applyAlignment="1">
      <alignment horizontal="centerContinuous" vertical="center"/>
    </xf>
    <xf numFmtId="0" fontId="7" fillId="0" borderId="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1" xfId="0" applyBorder="1"/>
    <xf numFmtId="0" fontId="0" fillId="0" borderId="15" xfId="0" applyBorder="1" applyAlignment="1">
      <alignment horizontal="center"/>
    </xf>
    <xf numFmtId="0" fontId="0" fillId="0" borderId="26" xfId="0" applyBorder="1"/>
    <xf numFmtId="0" fontId="7" fillId="0" borderId="5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6" xfId="0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7" fillId="0" borderId="24" xfId="0" applyFont="1" applyBorder="1" applyAlignment="1">
      <alignment horizontal="centerContinuous" vertical="center"/>
    </xf>
    <xf numFmtId="0" fontId="7" fillId="5" borderId="24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16" fillId="0" borderId="30" xfId="0" applyFont="1" applyFill="1" applyBorder="1" applyAlignment="1">
      <alignment horizontal="centerContinuous" vertical="center"/>
    </xf>
    <xf numFmtId="20" fontId="1" fillId="0" borderId="10" xfId="0" applyNumberFormat="1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7" fillId="0" borderId="2" xfId="0" applyFont="1" applyBorder="1" applyAlignment="1">
      <alignment horizontal="centerContinuous" vertical="center"/>
    </xf>
    <xf numFmtId="0" fontId="6" fillId="0" borderId="2" xfId="0" applyFont="1" applyBorder="1" applyAlignment="1">
      <alignment horizontal="centerContinuous" vertical="center"/>
    </xf>
    <xf numFmtId="20" fontId="5" fillId="0" borderId="32" xfId="0" applyNumberFormat="1" applyFont="1" applyBorder="1" applyAlignment="1">
      <alignment horizontal="center" vertical="center"/>
    </xf>
    <xf numFmtId="20" fontId="5" fillId="0" borderId="33" xfId="0" applyNumberFormat="1" applyFont="1" applyBorder="1" applyAlignment="1">
      <alignment horizontal="center" vertical="center"/>
    </xf>
    <xf numFmtId="20" fontId="1" fillId="0" borderId="33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20" fontId="1" fillId="3" borderId="3" xfId="0" applyNumberFormat="1" applyFont="1" applyFill="1" applyBorder="1" applyAlignment="1">
      <alignment horizontal="centerContinuous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20" fontId="1" fillId="2" borderId="3" xfId="0" applyNumberFormat="1" applyFont="1" applyFill="1" applyBorder="1" applyAlignment="1">
      <alignment horizontal="centerContinuous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9" fillId="0" borderId="0" xfId="0" applyFont="1" applyBorder="1" applyAlignment="1">
      <alignment vertical="center" wrapText="1"/>
    </xf>
    <xf numFmtId="0" fontId="20" fillId="0" borderId="0" xfId="0" applyFont="1" applyBorder="1" applyAlignment="1">
      <alignment horizontal="center" vertical="center" wrapText="1"/>
    </xf>
    <xf numFmtId="20" fontId="21" fillId="0" borderId="1" xfId="0" applyNumberFormat="1" applyFont="1" applyBorder="1" applyAlignment="1">
      <alignment horizontal="center" vertical="center" wrapText="1"/>
    </xf>
    <xf numFmtId="20" fontId="22" fillId="0" borderId="1" xfId="0" applyNumberFormat="1" applyFont="1" applyBorder="1" applyAlignment="1">
      <alignment horizontal="center" vertical="center" wrapText="1"/>
    </xf>
    <xf numFmtId="165" fontId="21" fillId="4" borderId="1" xfId="0" applyNumberFormat="1" applyFont="1" applyFill="1" applyBorder="1" applyAlignment="1">
      <alignment horizontal="center" vertical="center" wrapText="1"/>
    </xf>
    <xf numFmtId="165" fontId="21" fillId="1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20" fontId="21" fillId="0" borderId="7" xfId="0" applyNumberFormat="1" applyFont="1" applyBorder="1" applyAlignment="1">
      <alignment horizontal="center" vertical="center" wrapText="1"/>
    </xf>
    <xf numFmtId="20" fontId="21" fillId="0" borderId="8" xfId="0" applyNumberFormat="1" applyFont="1" applyBorder="1" applyAlignment="1">
      <alignment horizontal="center" vertical="center" wrapText="1"/>
    </xf>
    <xf numFmtId="20" fontId="22" fillId="0" borderId="8" xfId="0" applyNumberFormat="1" applyFont="1" applyBorder="1" applyAlignment="1">
      <alignment horizontal="center" vertical="center" wrapText="1"/>
    </xf>
    <xf numFmtId="165" fontId="21" fillId="4" borderId="8" xfId="0" applyNumberFormat="1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20" fontId="21" fillId="0" borderId="10" xfId="0" applyNumberFormat="1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0" fillId="0" borderId="10" xfId="0" applyBorder="1"/>
    <xf numFmtId="20" fontId="21" fillId="0" borderId="37" xfId="0" applyNumberFormat="1" applyFont="1" applyBorder="1" applyAlignment="1">
      <alignment horizontal="center" vertical="center" wrapText="1"/>
    </xf>
    <xf numFmtId="165" fontId="21" fillId="12" borderId="8" xfId="0" applyNumberFormat="1" applyFont="1" applyFill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11" xfId="0" applyBorder="1"/>
    <xf numFmtId="0" fontId="21" fillId="0" borderId="46" xfId="0" applyFont="1" applyBorder="1" applyAlignment="1">
      <alignment horizontal="center" vertical="center" wrapText="1"/>
    </xf>
    <xf numFmtId="20" fontId="4" fillId="2" borderId="3" xfId="0" applyNumberFormat="1" applyFont="1" applyFill="1" applyBorder="1" applyAlignment="1">
      <alignment horizontal="centerContinuous" vertical="center"/>
    </xf>
    <xf numFmtId="20" fontId="4" fillId="0" borderId="38" xfId="0" applyNumberFormat="1" applyFont="1" applyBorder="1" applyAlignment="1">
      <alignment horizontal="center" vertical="center"/>
    </xf>
    <xf numFmtId="20" fontId="5" fillId="0" borderId="38" xfId="0" applyNumberFormat="1" applyFont="1" applyBorder="1" applyAlignment="1">
      <alignment horizontal="center" vertical="center"/>
    </xf>
    <xf numFmtId="20" fontId="4" fillId="0" borderId="39" xfId="0" applyNumberFormat="1" applyFont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20" fontId="1" fillId="0" borderId="38" xfId="0" applyNumberFormat="1" applyFont="1" applyBorder="1" applyAlignment="1">
      <alignment vertical="center"/>
    </xf>
    <xf numFmtId="20" fontId="4" fillId="0" borderId="39" xfId="0" applyNumberFormat="1" applyFont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20" fontId="21" fillId="0" borderId="27" xfId="0" applyNumberFormat="1" applyFont="1" applyBorder="1" applyAlignment="1">
      <alignment horizontal="center" vertical="center" wrapText="1"/>
    </xf>
    <xf numFmtId="20" fontId="21" fillId="0" borderId="23" xfId="0" applyNumberFormat="1" applyFont="1" applyBorder="1" applyAlignment="1">
      <alignment horizontal="center" vertical="center" wrapText="1"/>
    </xf>
    <xf numFmtId="20" fontId="22" fillId="0" borderId="23" xfId="0" applyNumberFormat="1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20" fontId="21" fillId="12" borderId="10" xfId="0" applyNumberFormat="1" applyFont="1" applyFill="1" applyBorder="1" applyAlignment="1">
      <alignment horizontal="center" vertical="center" wrapText="1"/>
    </xf>
    <xf numFmtId="20" fontId="21" fillId="12" borderId="1" xfId="0" applyNumberFormat="1" applyFont="1" applyFill="1" applyBorder="1" applyAlignment="1">
      <alignment horizontal="center" vertical="center" wrapText="1"/>
    </xf>
    <xf numFmtId="20" fontId="21" fillId="4" borderId="10" xfId="0" applyNumberFormat="1" applyFont="1" applyFill="1" applyBorder="1" applyAlignment="1">
      <alignment horizontal="center" vertical="center" wrapText="1"/>
    </xf>
    <xf numFmtId="165" fontId="21" fillId="0" borderId="8" xfId="0" applyNumberFormat="1" applyFont="1" applyFill="1" applyBorder="1" applyAlignment="1">
      <alignment horizontal="center" vertical="center" wrapText="1"/>
    </xf>
    <xf numFmtId="165" fontId="21" fillId="0" borderId="1" xfId="0" applyNumberFormat="1" applyFont="1" applyFill="1" applyBorder="1" applyAlignment="1">
      <alignment horizontal="center" vertical="center" wrapText="1"/>
    </xf>
    <xf numFmtId="165" fontId="21" fillId="0" borderId="23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20" fontId="25" fillId="13" borderId="44" xfId="0" applyNumberFormat="1" applyFont="1" applyFill="1" applyBorder="1" applyAlignment="1">
      <alignment horizontal="center" vertical="center"/>
    </xf>
    <xf numFmtId="0" fontId="24" fillId="0" borderId="45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0" fontId="23" fillId="15" borderId="41" xfId="0" applyNumberFormat="1" applyFont="1" applyFill="1" applyBorder="1" applyAlignment="1">
      <alignment horizontal="center" vertical="center"/>
    </xf>
    <xf numFmtId="0" fontId="24" fillId="15" borderId="42" xfId="0" applyFont="1" applyFill="1" applyBorder="1"/>
    <xf numFmtId="0" fontId="24" fillId="15" borderId="43" xfId="0" applyFont="1" applyFill="1" applyBorder="1"/>
    <xf numFmtId="14" fontId="18" fillId="14" borderId="6" xfId="0" applyNumberFormat="1" applyFont="1" applyFill="1" applyBorder="1" applyAlignment="1">
      <alignment horizontal="center" vertical="center" textRotation="90"/>
    </xf>
    <xf numFmtId="14" fontId="18" fillId="14" borderId="13" xfId="0" applyNumberFormat="1" applyFont="1" applyFill="1" applyBorder="1" applyAlignment="1">
      <alignment horizontal="center" vertical="center" textRotation="90"/>
    </xf>
    <xf numFmtId="14" fontId="18" fillId="14" borderId="12" xfId="0" applyNumberFormat="1" applyFont="1" applyFill="1" applyBorder="1" applyAlignment="1">
      <alignment horizontal="center" vertical="center" textRotation="90"/>
    </xf>
    <xf numFmtId="0" fontId="6" fillId="0" borderId="6" xfId="0" applyFont="1" applyBorder="1" applyAlignment="1">
      <alignment horizontal="center" vertical="center" textRotation="90"/>
    </xf>
    <xf numFmtId="0" fontId="6" fillId="0" borderId="13" xfId="0" applyFont="1" applyBorder="1" applyAlignment="1">
      <alignment horizontal="center" vertical="center" textRotation="90"/>
    </xf>
    <xf numFmtId="0" fontId="6" fillId="0" borderId="12" xfId="0" applyFont="1" applyBorder="1" applyAlignment="1">
      <alignment horizontal="center" vertical="center" textRotation="90"/>
    </xf>
    <xf numFmtId="0" fontId="6" fillId="0" borderId="16" xfId="0" applyFont="1" applyBorder="1" applyAlignment="1">
      <alignment horizontal="center" vertical="center" textRotation="90"/>
    </xf>
    <xf numFmtId="0" fontId="6" fillId="0" borderId="15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4" fontId="18" fillId="11" borderId="6" xfId="0" applyNumberFormat="1" applyFont="1" applyFill="1" applyBorder="1" applyAlignment="1">
      <alignment horizontal="center" vertical="center" textRotation="90"/>
    </xf>
    <xf numFmtId="14" fontId="18" fillId="11" borderId="13" xfId="0" applyNumberFormat="1" applyFont="1" applyFill="1" applyBorder="1" applyAlignment="1">
      <alignment horizontal="center" vertical="center" textRotation="90"/>
    </xf>
    <xf numFmtId="14" fontId="18" fillId="11" borderId="12" xfId="0" applyNumberFormat="1" applyFont="1" applyFill="1" applyBorder="1" applyAlignment="1">
      <alignment horizontal="center" vertical="center" textRotation="90"/>
    </xf>
    <xf numFmtId="0" fontId="12" fillId="0" borderId="23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4" xfId="1" xr:uid="{D680CAC0-1592-4D8A-859C-651705C35727}"/>
  </cellStyles>
  <dxfs count="114">
    <dxf>
      <font>
        <color theme="1" tint="4.9989318521683403E-2"/>
      </font>
      <fill>
        <patternFill>
          <bgColor rgb="FFFF0000"/>
        </patternFill>
      </fill>
    </dxf>
    <dxf>
      <font>
        <color theme="1" tint="4.9989318521683403E-2"/>
      </font>
      <fill>
        <patternFill>
          <bgColor rgb="FFFF0000"/>
        </patternFill>
      </fill>
    </dxf>
    <dxf>
      <font>
        <color theme="1" tint="4.9989318521683403E-2"/>
      </font>
      <fill>
        <patternFill>
          <bgColor rgb="FFFF0000"/>
        </patternFill>
      </fill>
    </dxf>
    <dxf>
      <font>
        <color theme="1" tint="4.9989318521683403E-2"/>
      </font>
      <fill>
        <patternFill>
          <bgColor rgb="FFFF0000"/>
        </patternFill>
      </fill>
    </dxf>
    <dxf>
      <font>
        <color theme="1" tint="4.9989318521683403E-2"/>
      </font>
      <fill>
        <patternFill>
          <bgColor rgb="FFFF0000"/>
        </patternFill>
      </fill>
    </dxf>
    <dxf>
      <font>
        <color theme="1" tint="4.9989318521683403E-2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C8604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2E8CFE"/>
        </patternFill>
      </fill>
    </dxf>
    <dxf>
      <fill>
        <patternFill>
          <bgColor rgb="FFE43838"/>
        </patternFill>
      </fill>
    </dxf>
    <dxf>
      <fill>
        <patternFill>
          <bgColor rgb="FF00C459"/>
        </patternFill>
      </fill>
    </dxf>
    <dxf>
      <fill>
        <patternFill>
          <bgColor rgb="FFF19105"/>
        </patternFill>
      </fill>
    </dxf>
    <dxf>
      <fill>
        <patternFill>
          <bgColor rgb="FFF2E01E"/>
        </patternFill>
      </fill>
    </dxf>
    <dxf>
      <fill>
        <patternFill>
          <bgColor rgb="FFA9E196"/>
        </patternFill>
      </fill>
    </dxf>
    <dxf>
      <fill>
        <patternFill>
          <bgColor rgb="FF8AECF6"/>
        </patternFill>
      </fill>
    </dxf>
    <dxf>
      <fill>
        <patternFill>
          <bgColor rgb="FF2E8CFE"/>
        </patternFill>
      </fill>
    </dxf>
    <dxf>
      <fill>
        <patternFill>
          <bgColor rgb="FFE43838"/>
        </patternFill>
      </fill>
    </dxf>
    <dxf>
      <fill>
        <patternFill>
          <bgColor rgb="FF00C459"/>
        </patternFill>
      </fill>
    </dxf>
    <dxf>
      <fill>
        <patternFill>
          <bgColor rgb="FFF19105"/>
        </patternFill>
      </fill>
    </dxf>
    <dxf>
      <fill>
        <patternFill>
          <bgColor rgb="FFF2E01E"/>
        </patternFill>
      </fill>
    </dxf>
    <dxf>
      <fill>
        <patternFill>
          <bgColor rgb="FFA9E196"/>
        </patternFill>
      </fill>
    </dxf>
    <dxf>
      <fill>
        <patternFill>
          <bgColor rgb="FF8AECF6"/>
        </patternFill>
      </fill>
    </dxf>
    <dxf>
      <fill>
        <patternFill>
          <bgColor rgb="FF2E8CFE"/>
        </patternFill>
      </fill>
    </dxf>
    <dxf>
      <fill>
        <patternFill>
          <bgColor rgb="FFE43838"/>
        </patternFill>
      </fill>
    </dxf>
    <dxf>
      <fill>
        <patternFill>
          <bgColor rgb="FF00C459"/>
        </patternFill>
      </fill>
    </dxf>
    <dxf>
      <fill>
        <patternFill>
          <bgColor rgb="FFF19105"/>
        </patternFill>
      </fill>
    </dxf>
    <dxf>
      <fill>
        <patternFill>
          <bgColor rgb="FFF2E01E"/>
        </patternFill>
      </fill>
    </dxf>
    <dxf>
      <fill>
        <patternFill>
          <bgColor rgb="FFA9E196"/>
        </patternFill>
      </fill>
    </dxf>
    <dxf>
      <fill>
        <patternFill>
          <bgColor rgb="FF8AEC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2E8CFE"/>
        </patternFill>
      </fill>
    </dxf>
    <dxf>
      <fill>
        <patternFill>
          <bgColor rgb="FFE43838"/>
        </patternFill>
      </fill>
    </dxf>
    <dxf>
      <fill>
        <patternFill>
          <bgColor rgb="FF00C459"/>
        </patternFill>
      </fill>
    </dxf>
    <dxf>
      <fill>
        <patternFill>
          <bgColor rgb="FFF19105"/>
        </patternFill>
      </fill>
    </dxf>
    <dxf>
      <fill>
        <patternFill>
          <bgColor rgb="FFF2E01E"/>
        </patternFill>
      </fill>
    </dxf>
    <dxf>
      <fill>
        <patternFill>
          <bgColor rgb="FFA9E196"/>
        </patternFill>
      </fill>
    </dxf>
    <dxf>
      <fill>
        <patternFill>
          <bgColor rgb="FF8AECF6"/>
        </patternFill>
      </fill>
    </dxf>
    <dxf>
      <fill>
        <patternFill>
          <bgColor rgb="FF2E8CFE"/>
        </patternFill>
      </fill>
    </dxf>
    <dxf>
      <fill>
        <patternFill>
          <bgColor rgb="FFE43838"/>
        </patternFill>
      </fill>
    </dxf>
    <dxf>
      <fill>
        <patternFill>
          <bgColor rgb="FF00C459"/>
        </patternFill>
      </fill>
    </dxf>
    <dxf>
      <fill>
        <patternFill>
          <bgColor rgb="FFF19105"/>
        </patternFill>
      </fill>
    </dxf>
    <dxf>
      <fill>
        <patternFill>
          <bgColor rgb="FFF2E01E"/>
        </patternFill>
      </fill>
    </dxf>
    <dxf>
      <fill>
        <patternFill>
          <bgColor rgb="FFA9E196"/>
        </patternFill>
      </fill>
    </dxf>
    <dxf>
      <fill>
        <patternFill>
          <bgColor rgb="FF8AECF6"/>
        </patternFill>
      </fill>
    </dxf>
    <dxf>
      <fill>
        <patternFill>
          <bgColor rgb="FF2E8CFE"/>
        </patternFill>
      </fill>
    </dxf>
    <dxf>
      <fill>
        <patternFill>
          <bgColor rgb="FFE43838"/>
        </patternFill>
      </fill>
    </dxf>
    <dxf>
      <fill>
        <patternFill>
          <bgColor rgb="FF00C459"/>
        </patternFill>
      </fill>
    </dxf>
    <dxf>
      <fill>
        <patternFill>
          <bgColor rgb="FFF19105"/>
        </patternFill>
      </fill>
    </dxf>
    <dxf>
      <fill>
        <patternFill>
          <bgColor rgb="FFF2E01E"/>
        </patternFill>
      </fill>
    </dxf>
    <dxf>
      <fill>
        <patternFill>
          <bgColor rgb="FFA9E196"/>
        </patternFill>
      </fill>
    </dxf>
    <dxf>
      <fill>
        <patternFill>
          <bgColor rgb="FF8AEC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ABF8F"/>
      <color rgb="FFC2D69B"/>
      <color rgb="FFB6DDE8"/>
      <color rgb="FF3EB1DA"/>
      <color rgb="FF8AECF6"/>
      <color rgb="FF00C459"/>
      <color rgb="FF2DDF3E"/>
      <color rgb="FF5AE4CA"/>
      <color rgb="FF69D969"/>
      <color rgb="FF66F5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317E-9925-4F67-AE5D-79B59BB0732C}">
  <dimension ref="A1:AG51"/>
  <sheetViews>
    <sheetView tabSelected="1" zoomScale="70" zoomScaleNormal="70" workbookViewId="0">
      <selection activeCell="J17" sqref="J17:O26"/>
    </sheetView>
  </sheetViews>
  <sheetFormatPr defaultColWidth="8.7109375" defaultRowHeight="24" customHeight="1" x14ac:dyDescent="0.25"/>
  <cols>
    <col min="1" max="16384" width="8.7109375" style="17"/>
  </cols>
  <sheetData>
    <row r="1" spans="1:33" customFormat="1" ht="24" customHeight="1" thickBot="1" x14ac:dyDescent="0.3"/>
    <row r="2" spans="1:33" ht="24" customHeight="1" thickBot="1" x14ac:dyDescent="0.3">
      <c r="B2" s="201" t="s">
        <v>294</v>
      </c>
      <c r="C2" s="107" t="s">
        <v>289</v>
      </c>
      <c r="D2" s="41"/>
      <c r="E2" s="41"/>
      <c r="F2" s="41"/>
      <c r="G2" s="41"/>
      <c r="H2" s="42"/>
      <c r="I2" s="40"/>
      <c r="J2" s="41"/>
      <c r="K2" s="41"/>
      <c r="L2" s="41"/>
      <c r="M2" s="41"/>
      <c r="N2" s="42"/>
      <c r="O2" s="40"/>
      <c r="P2" s="132" t="s">
        <v>290</v>
      </c>
      <c r="Q2" s="41"/>
      <c r="R2" s="41"/>
      <c r="S2" s="42"/>
      <c r="U2"/>
      <c r="V2"/>
      <c r="W2"/>
      <c r="X2"/>
    </row>
    <row r="3" spans="1:33" ht="24" customHeight="1" thickBot="1" x14ac:dyDescent="0.3">
      <c r="B3" s="202"/>
      <c r="C3" s="193">
        <v>1.3888888888888888E-2</v>
      </c>
      <c r="D3" s="40" t="s">
        <v>6</v>
      </c>
      <c r="E3" s="41"/>
      <c r="F3" s="41"/>
      <c r="G3" s="41"/>
      <c r="H3" s="41"/>
      <c r="I3" s="42"/>
      <c r="J3" s="40"/>
      <c r="K3" s="41"/>
      <c r="L3" s="41"/>
      <c r="M3" s="41"/>
      <c r="N3" s="41"/>
      <c r="O3" s="42"/>
      <c r="P3" s="133" t="s">
        <v>124</v>
      </c>
      <c r="Q3" s="43"/>
      <c r="R3" s="43"/>
      <c r="S3" s="44"/>
      <c r="U3"/>
      <c r="V3"/>
      <c r="W3"/>
      <c r="X3"/>
    </row>
    <row r="4" spans="1:33" ht="24" customHeight="1" thickBot="1" x14ac:dyDescent="0.3">
      <c r="B4" s="202"/>
      <c r="C4" s="194"/>
      <c r="D4" s="40" t="s">
        <v>244</v>
      </c>
      <c r="E4" s="41"/>
      <c r="F4" s="41"/>
      <c r="G4" s="41"/>
      <c r="H4" s="41"/>
      <c r="I4" s="42"/>
      <c r="J4" s="40" t="s">
        <v>245</v>
      </c>
      <c r="K4" s="41"/>
      <c r="L4" s="41"/>
      <c r="M4" s="41"/>
      <c r="N4" s="41"/>
      <c r="O4" s="42"/>
      <c r="P4" s="132" t="str">
        <f>CONCATENATE(COUNT(P6:P16,R6:R16)," VIAGENS")</f>
        <v>21 VIAGENS</v>
      </c>
      <c r="Q4" s="41"/>
      <c r="R4" s="41"/>
      <c r="S4" s="42"/>
      <c r="U4" s="195" t="s">
        <v>246</v>
      </c>
      <c r="V4" s="196"/>
      <c r="W4" s="196"/>
      <c r="X4" s="196"/>
      <c r="Y4" s="196"/>
      <c r="Z4" s="197"/>
      <c r="AB4" s="195" t="s">
        <v>267</v>
      </c>
      <c r="AC4" s="196"/>
      <c r="AD4" s="196"/>
      <c r="AE4" s="196"/>
      <c r="AF4" s="196"/>
      <c r="AG4" s="197"/>
    </row>
    <row r="5" spans="1:33" ht="24" customHeight="1" thickBot="1" x14ac:dyDescent="0.3">
      <c r="B5" s="202"/>
      <c r="C5" s="204" t="s">
        <v>5</v>
      </c>
      <c r="D5" s="58" t="s">
        <v>0</v>
      </c>
      <c r="E5" s="58" t="s">
        <v>1</v>
      </c>
      <c r="F5" s="58" t="s">
        <v>2</v>
      </c>
      <c r="G5" s="58" t="s">
        <v>3</v>
      </c>
      <c r="H5" s="58" t="s">
        <v>4</v>
      </c>
      <c r="I5" s="58" t="s">
        <v>12</v>
      </c>
      <c r="J5" s="58" t="s">
        <v>0</v>
      </c>
      <c r="K5" s="58" t="s">
        <v>1</v>
      </c>
      <c r="L5" s="58" t="s">
        <v>2</v>
      </c>
      <c r="M5" s="58" t="s">
        <v>3</v>
      </c>
      <c r="N5" s="58" t="s">
        <v>4</v>
      </c>
      <c r="O5" s="58" t="s">
        <v>12</v>
      </c>
      <c r="P5" s="145" t="s">
        <v>8</v>
      </c>
      <c r="Q5" s="2" t="s">
        <v>9</v>
      </c>
      <c r="R5" s="145" t="s">
        <v>8</v>
      </c>
      <c r="S5" s="2" t="s">
        <v>9</v>
      </c>
      <c r="U5" s="58" t="s">
        <v>0</v>
      </c>
      <c r="V5" s="58" t="s">
        <v>1</v>
      </c>
      <c r="W5" s="58" t="s">
        <v>2</v>
      </c>
      <c r="X5" s="58" t="s">
        <v>3</v>
      </c>
      <c r="Y5" s="58" t="s">
        <v>4</v>
      </c>
      <c r="Z5" s="58" t="s">
        <v>12</v>
      </c>
      <c r="AB5" s="58" t="s">
        <v>0</v>
      </c>
      <c r="AC5" s="58" t="s">
        <v>1</v>
      </c>
      <c r="AD5" s="58" t="s">
        <v>2</v>
      </c>
      <c r="AE5" s="58" t="s">
        <v>3</v>
      </c>
      <c r="AF5" s="58" t="s">
        <v>4</v>
      </c>
      <c r="AG5" s="58" t="s">
        <v>12</v>
      </c>
    </row>
    <row r="6" spans="1:33" ht="24" customHeight="1" thickBot="1" x14ac:dyDescent="0.3">
      <c r="B6" s="202"/>
      <c r="C6" s="205"/>
      <c r="D6" s="155">
        <v>0.1875</v>
      </c>
      <c r="E6" s="156">
        <v>0.20416666666666666</v>
      </c>
      <c r="F6" s="156">
        <v>0.22222222222222221</v>
      </c>
      <c r="G6" s="157">
        <f>F6-D6</f>
        <v>3.472222222222221E-2</v>
      </c>
      <c r="H6" s="187">
        <v>93</v>
      </c>
      <c r="I6" s="159">
        <v>1</v>
      </c>
      <c r="J6" s="155">
        <v>0.20833333333333334</v>
      </c>
      <c r="K6" s="156">
        <v>0.22569444444444445</v>
      </c>
      <c r="L6" s="156">
        <v>0.24374999999999999</v>
      </c>
      <c r="M6" s="157">
        <f t="shared" ref="M6:M9" si="0">L6-J6</f>
        <v>3.5416666666666652E-2</v>
      </c>
      <c r="N6" s="187">
        <v>93</v>
      </c>
      <c r="O6" s="171">
        <v>2</v>
      </c>
      <c r="P6" s="155">
        <v>0.1875</v>
      </c>
      <c r="Q6" s="13"/>
      <c r="R6" s="156">
        <v>0.57499999999999996</v>
      </c>
      <c r="S6" s="14">
        <f>R6-P16</f>
        <v>5.8333333333333237E-2</v>
      </c>
      <c r="U6" s="180">
        <v>0.27708333333333335</v>
      </c>
      <c r="V6" s="181">
        <v>0.2951388888888889</v>
      </c>
      <c r="W6" s="181">
        <v>0.31388888888888888</v>
      </c>
      <c r="X6" s="182">
        <f t="shared" ref="X6" si="1">W6-U6</f>
        <v>3.6805555555555536E-2</v>
      </c>
      <c r="Y6" s="189">
        <v>93</v>
      </c>
      <c r="Z6" s="183">
        <v>3</v>
      </c>
      <c r="AB6" s="160">
        <v>0.71527777777777779</v>
      </c>
      <c r="AC6" s="150">
        <v>0.73541666666666672</v>
      </c>
      <c r="AD6" s="150">
        <v>0.75972222222222219</v>
      </c>
      <c r="AE6" s="151">
        <f t="shared" ref="AE6:AE7" si="2">AD6-AB6</f>
        <v>4.4444444444444398E-2</v>
      </c>
      <c r="AF6" s="188">
        <v>93</v>
      </c>
      <c r="AG6" s="161">
        <v>1</v>
      </c>
    </row>
    <row r="7" spans="1:33" ht="24" customHeight="1" thickBot="1" x14ac:dyDescent="0.3">
      <c r="B7" s="202"/>
      <c r="C7" s="205"/>
      <c r="D7" s="160">
        <v>0.22916666666666666</v>
      </c>
      <c r="E7" s="150">
        <v>0.24652777777777779</v>
      </c>
      <c r="F7" s="150">
        <v>0.26458333333333334</v>
      </c>
      <c r="G7" s="151">
        <f t="shared" ref="G7:G9" si="3">F7-D7</f>
        <v>3.541666666666668E-2</v>
      </c>
      <c r="H7" s="188">
        <v>93</v>
      </c>
      <c r="I7" s="161">
        <v>1</v>
      </c>
      <c r="J7" s="160">
        <v>0.25069444444444444</v>
      </c>
      <c r="K7" s="150">
        <v>0.26874999999999999</v>
      </c>
      <c r="L7" s="150">
        <v>0.28819444444444442</v>
      </c>
      <c r="M7" s="151">
        <f t="shared" si="0"/>
        <v>3.7499999999999978E-2</v>
      </c>
      <c r="N7" s="188">
        <v>93</v>
      </c>
      <c r="O7" s="165">
        <v>2</v>
      </c>
      <c r="P7" s="160">
        <v>0.20833333333333334</v>
      </c>
      <c r="Q7" s="15">
        <f>P7-P6</f>
        <v>2.0833333333333343E-2</v>
      </c>
      <c r="R7" s="150">
        <v>0.6333333333333333</v>
      </c>
      <c r="S7" s="16">
        <f t="shared" ref="S7:S15" si="4">R7-R6</f>
        <v>5.8333333333333348E-2</v>
      </c>
      <c r="U7" s="198" t="s">
        <v>295</v>
      </c>
      <c r="V7" s="199"/>
      <c r="W7" s="199"/>
      <c r="X7" s="199"/>
      <c r="Y7" s="199"/>
      <c r="Z7" s="200"/>
      <c r="AB7" s="180">
        <v>0.77638888888888891</v>
      </c>
      <c r="AC7" s="181">
        <v>0.79722222222222228</v>
      </c>
      <c r="AD7" s="181">
        <v>0.81666666666666665</v>
      </c>
      <c r="AE7" s="182">
        <f t="shared" si="2"/>
        <v>4.0277777777777746E-2</v>
      </c>
      <c r="AF7" s="189">
        <v>93</v>
      </c>
      <c r="AG7" s="183">
        <v>1</v>
      </c>
    </row>
    <row r="8" spans="1:33" ht="24" customHeight="1" thickBot="1" x14ac:dyDescent="0.3">
      <c r="B8" s="202"/>
      <c r="C8" s="205"/>
      <c r="D8" s="160">
        <v>0.27083333333333331</v>
      </c>
      <c r="E8" s="150">
        <v>0.29305555555555557</v>
      </c>
      <c r="F8" s="150">
        <v>0.3125</v>
      </c>
      <c r="G8" s="151">
        <f t="shared" si="3"/>
        <v>4.1666666666666685E-2</v>
      </c>
      <c r="H8" s="188">
        <v>94</v>
      </c>
      <c r="I8" s="161">
        <v>1</v>
      </c>
      <c r="J8" s="160">
        <v>0.2986111111111111</v>
      </c>
      <c r="K8" s="150">
        <v>0.31597222222222221</v>
      </c>
      <c r="L8" s="150">
        <v>0.3347222222222222</v>
      </c>
      <c r="M8" s="151">
        <f t="shared" si="0"/>
        <v>3.6111111111111094E-2</v>
      </c>
      <c r="N8" s="188">
        <v>93</v>
      </c>
      <c r="O8" s="165">
        <v>2</v>
      </c>
      <c r="P8" s="160">
        <v>0.22916666666666666</v>
      </c>
      <c r="Q8" s="15">
        <f t="shared" ref="Q8:Q16" si="5">P8-P7</f>
        <v>2.0833333333333315E-2</v>
      </c>
      <c r="R8" s="185">
        <v>0.66666666666666663</v>
      </c>
      <c r="S8" s="16">
        <f t="shared" si="4"/>
        <v>3.3333333333333326E-2</v>
      </c>
      <c r="AB8" s="198" t="s">
        <v>295</v>
      </c>
      <c r="AC8" s="199"/>
      <c r="AD8" s="199"/>
      <c r="AE8" s="199"/>
      <c r="AF8" s="199"/>
      <c r="AG8" s="200"/>
    </row>
    <row r="9" spans="1:33" ht="24" customHeight="1" thickBot="1" x14ac:dyDescent="0.3">
      <c r="B9" s="202"/>
      <c r="C9" s="205"/>
      <c r="D9" s="160">
        <v>0.32500000000000001</v>
      </c>
      <c r="E9" s="150">
        <v>0.34236111111111112</v>
      </c>
      <c r="F9" s="150">
        <v>0.36180555555555555</v>
      </c>
      <c r="G9" s="151">
        <f t="shared" si="3"/>
        <v>3.6805555555555536E-2</v>
      </c>
      <c r="H9" s="188">
        <v>93</v>
      </c>
      <c r="I9" s="161">
        <v>1</v>
      </c>
      <c r="J9" s="160">
        <v>0.35138888888888886</v>
      </c>
      <c r="K9" s="150">
        <v>0.36875000000000002</v>
      </c>
      <c r="L9" s="150">
        <v>0.38819444444444445</v>
      </c>
      <c r="M9" s="151">
        <f t="shared" si="0"/>
        <v>3.6805555555555591E-2</v>
      </c>
      <c r="N9" s="188">
        <v>93</v>
      </c>
      <c r="O9" s="165">
        <v>2</v>
      </c>
      <c r="P9" s="160">
        <v>0.25069444444444444</v>
      </c>
      <c r="Q9" s="15">
        <f t="shared" si="5"/>
        <v>2.1527777777777785E-2</v>
      </c>
      <c r="R9" s="150">
        <v>0.69097222222222221</v>
      </c>
      <c r="S9" s="16">
        <f t="shared" si="4"/>
        <v>2.430555555555558E-2</v>
      </c>
    </row>
    <row r="10" spans="1:33" ht="24" customHeight="1" thickBot="1" x14ac:dyDescent="0.3">
      <c r="B10" s="202"/>
      <c r="C10" s="205"/>
      <c r="D10" s="53">
        <f>IF(F9="",E9,F9)</f>
        <v>0.36180555555555555</v>
      </c>
      <c r="E10" s="54"/>
      <c r="F10" s="53">
        <f>IF(D11="",E11,D11)</f>
        <v>0.41041666666666665</v>
      </c>
      <c r="G10" s="54"/>
      <c r="H10" s="54">
        <f>F10-D10</f>
        <v>4.8611111111111105E-2</v>
      </c>
      <c r="I10" s="54"/>
      <c r="J10" s="53">
        <f>IF(L9="",K9,L9)</f>
        <v>0.38819444444444445</v>
      </c>
      <c r="K10" s="54"/>
      <c r="L10" s="53">
        <f>IF(J11="",K11,J11)</f>
        <v>0.43680555555555556</v>
      </c>
      <c r="M10" s="54"/>
      <c r="N10" s="54">
        <f>L10-J10</f>
        <v>4.8611111111111105E-2</v>
      </c>
      <c r="O10" s="172"/>
      <c r="P10" s="184">
        <v>0.27708333333333335</v>
      </c>
      <c r="Q10" s="15">
        <f t="shared" si="5"/>
        <v>2.6388888888888906E-2</v>
      </c>
      <c r="R10" s="185">
        <v>0.71527777777777779</v>
      </c>
      <c r="S10" s="16">
        <f t="shared" si="4"/>
        <v>2.430555555555558E-2</v>
      </c>
      <c r="AB10" s="195" t="s">
        <v>268</v>
      </c>
      <c r="AC10" s="196"/>
      <c r="AD10" s="196"/>
      <c r="AE10" s="196"/>
      <c r="AF10" s="196"/>
      <c r="AG10" s="197"/>
    </row>
    <row r="11" spans="1:33" ht="24" customHeight="1" thickBot="1" x14ac:dyDescent="0.3">
      <c r="B11" s="202"/>
      <c r="C11" s="205"/>
      <c r="D11" s="160">
        <v>0.41041666666666665</v>
      </c>
      <c r="E11" s="150">
        <v>0.43194444444444446</v>
      </c>
      <c r="F11" s="150">
        <v>0.45277777777777778</v>
      </c>
      <c r="G11" s="151">
        <f t="shared" ref="G11:G13" si="6">F11-D11</f>
        <v>4.2361111111111127E-2</v>
      </c>
      <c r="H11" s="188">
        <v>93</v>
      </c>
      <c r="I11" s="161">
        <v>1</v>
      </c>
      <c r="J11" s="160">
        <v>0.43680555555555556</v>
      </c>
      <c r="K11" s="150">
        <v>0.46527777777777779</v>
      </c>
      <c r="L11" s="150">
        <v>0.48541666666666666</v>
      </c>
      <c r="M11" s="151">
        <f t="shared" ref="M11:M12" si="7">L11-J11</f>
        <v>4.8611111111111105E-2</v>
      </c>
      <c r="N11" s="188">
        <v>94</v>
      </c>
      <c r="O11" s="165">
        <v>2</v>
      </c>
      <c r="P11" s="160">
        <v>0.2986111111111111</v>
      </c>
      <c r="Q11" s="15">
        <f t="shared" si="5"/>
        <v>2.1527777777777757E-2</v>
      </c>
      <c r="R11" s="150">
        <v>0.74583333333333335</v>
      </c>
      <c r="S11" s="16">
        <f t="shared" si="4"/>
        <v>3.0555555555555558E-2</v>
      </c>
      <c r="AB11" s="58" t="s">
        <v>0</v>
      </c>
      <c r="AC11" s="58" t="s">
        <v>1</v>
      </c>
      <c r="AD11" s="58" t="s">
        <v>2</v>
      </c>
      <c r="AE11" s="58" t="s">
        <v>3</v>
      </c>
      <c r="AF11" s="58" t="s">
        <v>4</v>
      </c>
      <c r="AG11" s="58" t="s">
        <v>12</v>
      </c>
    </row>
    <row r="12" spans="1:33" ht="24" customHeight="1" x14ac:dyDescent="0.25">
      <c r="B12" s="202"/>
      <c r="C12" s="205"/>
      <c r="D12" s="160">
        <v>0.46527777777777779</v>
      </c>
      <c r="E12" s="150">
        <v>0.48541666666666666</v>
      </c>
      <c r="F12" s="150">
        <v>0.50486111111111109</v>
      </c>
      <c r="G12" s="151">
        <f t="shared" si="6"/>
        <v>3.9583333333333304E-2</v>
      </c>
      <c r="H12" s="188">
        <v>93</v>
      </c>
      <c r="I12" s="161">
        <v>1</v>
      </c>
      <c r="J12" s="160">
        <v>0.51041666666666663</v>
      </c>
      <c r="K12" s="150">
        <v>0.53125</v>
      </c>
      <c r="L12" s="150">
        <v>0.55000000000000004</v>
      </c>
      <c r="M12" s="151">
        <f t="shared" si="7"/>
        <v>3.9583333333333415E-2</v>
      </c>
      <c r="N12" s="188">
        <v>94</v>
      </c>
      <c r="O12" s="165">
        <v>2</v>
      </c>
      <c r="P12" s="160">
        <v>0.32500000000000001</v>
      </c>
      <c r="Q12" s="15">
        <f t="shared" si="5"/>
        <v>2.6388888888888906E-2</v>
      </c>
      <c r="R12" s="185">
        <v>0.77638888888888891</v>
      </c>
      <c r="S12" s="16">
        <f t="shared" si="4"/>
        <v>3.0555555555555558E-2</v>
      </c>
      <c r="AB12" s="160">
        <v>0.66666666666666663</v>
      </c>
      <c r="AC12" s="150">
        <v>0.68958333333333333</v>
      </c>
      <c r="AD12" s="150">
        <v>0.71180555555555558</v>
      </c>
      <c r="AE12" s="151">
        <v>4.5138888888888951E-2</v>
      </c>
      <c r="AF12" s="188">
        <v>93</v>
      </c>
      <c r="AG12" s="161">
        <v>3</v>
      </c>
    </row>
    <row r="13" spans="1:33" ht="24" customHeight="1" thickBot="1" x14ac:dyDescent="0.3">
      <c r="B13" s="202"/>
      <c r="C13" s="205"/>
      <c r="D13" s="160">
        <v>0.51666666666666672</v>
      </c>
      <c r="E13" s="150">
        <v>0.53402777777777777</v>
      </c>
      <c r="F13" s="150">
        <v>0.55347222222222225</v>
      </c>
      <c r="G13" s="151">
        <f t="shared" si="6"/>
        <v>3.6805555555555536E-2</v>
      </c>
      <c r="H13" s="188">
        <v>93</v>
      </c>
      <c r="I13" s="161">
        <v>1</v>
      </c>
      <c r="J13" s="162"/>
      <c r="K13" s="154"/>
      <c r="L13" s="154"/>
      <c r="M13" s="154"/>
      <c r="N13" s="154"/>
      <c r="O13" s="166"/>
      <c r="P13" s="160">
        <v>0.35138888888888886</v>
      </c>
      <c r="Q13" s="15">
        <f t="shared" si="5"/>
        <v>2.6388888888888851E-2</v>
      </c>
      <c r="R13" s="150">
        <v>0.85416666666666663</v>
      </c>
      <c r="S13" s="16">
        <f t="shared" si="4"/>
        <v>7.7777777777777724E-2</v>
      </c>
      <c r="AB13" s="160">
        <v>0.88541666666666663</v>
      </c>
      <c r="AC13" s="150">
        <v>0.90486111111111112</v>
      </c>
      <c r="AD13" s="150">
        <v>0.92361111111111116</v>
      </c>
      <c r="AE13" s="151">
        <v>3.8194444444444531E-2</v>
      </c>
      <c r="AF13" s="188">
        <v>93</v>
      </c>
      <c r="AG13" s="161">
        <v>3</v>
      </c>
    </row>
    <row r="14" spans="1:33" s="131" customFormat="1" ht="24" customHeight="1" thickBot="1" x14ac:dyDescent="0.3">
      <c r="A14" s="27"/>
      <c r="B14" s="202"/>
      <c r="C14" s="206"/>
      <c r="D14" s="198" t="s">
        <v>295</v>
      </c>
      <c r="E14" s="199"/>
      <c r="F14" s="199"/>
      <c r="G14" s="199"/>
      <c r="H14" s="199"/>
      <c r="I14" s="200"/>
      <c r="J14" s="198" t="s">
        <v>295</v>
      </c>
      <c r="K14" s="199"/>
      <c r="L14" s="199"/>
      <c r="M14" s="199"/>
      <c r="N14" s="199"/>
      <c r="O14" s="200"/>
      <c r="P14" s="160">
        <v>0.41041666666666665</v>
      </c>
      <c r="Q14" s="15">
        <f t="shared" si="5"/>
        <v>5.902777777777779E-2</v>
      </c>
      <c r="R14" s="185">
        <v>0.88541666666666663</v>
      </c>
      <c r="S14" s="16">
        <f t="shared" si="4"/>
        <v>3.125E-2</v>
      </c>
      <c r="AB14" s="180">
        <v>0.93055555555555558</v>
      </c>
      <c r="AC14" s="181">
        <v>0.94861111111111107</v>
      </c>
      <c r="AD14" s="181">
        <v>0.96597222222222223</v>
      </c>
      <c r="AE14" s="182">
        <v>3.5416666666666652E-2</v>
      </c>
      <c r="AF14" s="189">
        <v>93</v>
      </c>
      <c r="AG14" s="183">
        <v>3</v>
      </c>
    </row>
    <row r="15" spans="1:33" ht="24" customHeight="1" thickBot="1" x14ac:dyDescent="0.3">
      <c r="B15" s="202"/>
      <c r="C15" s="55" t="s">
        <v>128</v>
      </c>
      <c r="D15" s="45">
        <f>MAX(E6:F13)-IF(D6="",E6,D6)-MIN(H6:H12)+$C3</f>
        <v>0.33125000000000004</v>
      </c>
      <c r="E15" s="48"/>
      <c r="F15" s="48"/>
      <c r="G15" s="49"/>
      <c r="H15" s="46">
        <f ca="1">OFFSET(H5,MATCH(MIN(H6:H12),H6:H12,0),-4)-IF(D6="",E6,D6)+$C3</f>
        <v>0.18819444444444444</v>
      </c>
      <c r="I15" s="47"/>
      <c r="J15" s="45">
        <f>MAX(K6:L13)-IF(J6="",K6,J6)-MIN(N6:N12)+$C$3</f>
        <v>0.30694444444444446</v>
      </c>
      <c r="K15" s="48"/>
      <c r="L15" s="48"/>
      <c r="M15" s="49"/>
      <c r="N15" s="46">
        <f ca="1">OFFSET(N5,MATCH(MIN(N6:N12),N6:N12,0),-4)-IF(J6="",K6,J6)+$C3</f>
        <v>0.19375000000000001</v>
      </c>
      <c r="O15" s="139"/>
      <c r="P15" s="160">
        <v>0.46527777777777779</v>
      </c>
      <c r="Q15" s="15">
        <f t="shared" si="5"/>
        <v>5.4861111111111138E-2</v>
      </c>
      <c r="R15" s="185">
        <v>0.93055555555555558</v>
      </c>
      <c r="S15" s="16">
        <f t="shared" si="4"/>
        <v>4.5138888888888951E-2</v>
      </c>
      <c r="AB15" s="198" t="s">
        <v>295</v>
      </c>
      <c r="AC15" s="199"/>
      <c r="AD15" s="199"/>
      <c r="AE15" s="199"/>
      <c r="AF15" s="199"/>
      <c r="AG15" s="200"/>
    </row>
    <row r="16" spans="1:33" ht="24" customHeight="1" thickBot="1" x14ac:dyDescent="0.3">
      <c r="B16" s="202"/>
      <c r="C16" s="193">
        <v>1.3888888888888888E-2</v>
      </c>
      <c r="D16" s="40" t="s">
        <v>7</v>
      </c>
      <c r="E16" s="41"/>
      <c r="F16" s="41"/>
      <c r="G16" s="41"/>
      <c r="H16" s="41"/>
      <c r="I16" s="42"/>
      <c r="J16" s="40"/>
      <c r="K16" s="41"/>
      <c r="L16" s="41"/>
      <c r="M16" s="41"/>
      <c r="N16" s="41"/>
      <c r="O16" s="41"/>
      <c r="P16" s="163">
        <v>0.51666666666666672</v>
      </c>
      <c r="Q16" s="173">
        <f t="shared" si="5"/>
        <v>5.1388888888888928E-2</v>
      </c>
      <c r="R16" s="174"/>
      <c r="S16" s="175"/>
    </row>
    <row r="17" spans="1:19" ht="24" customHeight="1" thickBot="1" x14ac:dyDescent="0.3">
      <c r="B17" s="202"/>
      <c r="C17" s="194"/>
      <c r="D17" s="40" t="s">
        <v>266</v>
      </c>
      <c r="E17" s="41"/>
      <c r="F17" s="41"/>
      <c r="G17" s="41"/>
      <c r="H17" s="41"/>
      <c r="I17" s="42"/>
      <c r="J17" s="209"/>
      <c r="K17" s="210"/>
      <c r="L17" s="210"/>
      <c r="M17" s="210"/>
      <c r="N17" s="210"/>
      <c r="O17" s="211"/>
    </row>
    <row r="18" spans="1:19" ht="24" customHeight="1" thickBot="1" x14ac:dyDescent="0.3">
      <c r="B18" s="202"/>
      <c r="C18" s="204" t="s">
        <v>5</v>
      </c>
      <c r="D18" s="143" t="s">
        <v>0</v>
      </c>
      <c r="E18" s="58" t="s">
        <v>1</v>
      </c>
      <c r="F18" s="144" t="s">
        <v>2</v>
      </c>
      <c r="G18" s="58" t="s">
        <v>3</v>
      </c>
      <c r="H18" s="144" t="s">
        <v>4</v>
      </c>
      <c r="I18" s="58" t="s">
        <v>12</v>
      </c>
      <c r="J18" s="212"/>
      <c r="K18" s="213"/>
      <c r="L18" s="213"/>
      <c r="M18" s="213"/>
      <c r="N18" s="213"/>
      <c r="O18" s="214"/>
    </row>
    <row r="19" spans="1:19" ht="24" customHeight="1" x14ac:dyDescent="0.25">
      <c r="B19" s="202"/>
      <c r="C19" s="207"/>
      <c r="D19" s="155">
        <v>0.57499999999999996</v>
      </c>
      <c r="E19" s="156">
        <v>0.59930555555555554</v>
      </c>
      <c r="F19" s="156">
        <v>0.62083333333333335</v>
      </c>
      <c r="G19" s="157">
        <f t="shared" ref="G19:G22" si="8">F19-D19</f>
        <v>4.5833333333333393E-2</v>
      </c>
      <c r="H19" s="187">
        <v>93</v>
      </c>
      <c r="I19" s="159">
        <v>2</v>
      </c>
      <c r="J19" s="212"/>
      <c r="K19" s="213"/>
      <c r="L19" s="213"/>
      <c r="M19" s="213"/>
      <c r="N19" s="213"/>
      <c r="O19" s="214"/>
    </row>
    <row r="20" spans="1:19" ht="24" customHeight="1" x14ac:dyDescent="0.25">
      <c r="B20" s="202"/>
      <c r="C20" s="207"/>
      <c r="D20" s="160">
        <v>0.6333333333333333</v>
      </c>
      <c r="E20" s="150">
        <v>0.65416666666666667</v>
      </c>
      <c r="F20" s="150">
        <v>0.67500000000000004</v>
      </c>
      <c r="G20" s="151">
        <f t="shared" si="8"/>
        <v>4.1666666666666741E-2</v>
      </c>
      <c r="H20" s="188">
        <v>93</v>
      </c>
      <c r="I20" s="161">
        <v>2</v>
      </c>
      <c r="J20" s="212"/>
      <c r="K20" s="213"/>
      <c r="L20" s="213"/>
      <c r="M20" s="213"/>
      <c r="N20" s="213"/>
      <c r="O20" s="214"/>
    </row>
    <row r="21" spans="1:19" ht="24" customHeight="1" x14ac:dyDescent="0.25">
      <c r="B21" s="202"/>
      <c r="C21" s="207"/>
      <c r="D21" s="160">
        <v>0.69097222222222221</v>
      </c>
      <c r="E21" s="150">
        <v>0.71388888888888891</v>
      </c>
      <c r="F21" s="150">
        <v>0.73819444444444449</v>
      </c>
      <c r="G21" s="151">
        <f t="shared" si="8"/>
        <v>4.7222222222222276E-2</v>
      </c>
      <c r="H21" s="188">
        <v>93</v>
      </c>
      <c r="I21" s="161">
        <v>2</v>
      </c>
      <c r="J21" s="212"/>
      <c r="K21" s="213"/>
      <c r="L21" s="213"/>
      <c r="M21" s="213"/>
      <c r="N21" s="213"/>
      <c r="O21" s="214"/>
    </row>
    <row r="22" spans="1:19" ht="24" customHeight="1" thickBot="1" x14ac:dyDescent="0.3">
      <c r="B22" s="202"/>
      <c r="C22" s="207"/>
      <c r="D22" s="160">
        <v>0.74583333333333335</v>
      </c>
      <c r="E22" s="150">
        <v>0.76597222222222228</v>
      </c>
      <c r="F22" s="150">
        <v>0.79027777777777775</v>
      </c>
      <c r="G22" s="151">
        <f t="shared" si="8"/>
        <v>4.4444444444444398E-2</v>
      </c>
      <c r="H22" s="188">
        <v>93</v>
      </c>
      <c r="I22" s="161">
        <v>2</v>
      </c>
      <c r="J22" s="212"/>
      <c r="K22" s="213"/>
      <c r="L22" s="213"/>
      <c r="M22" s="213"/>
      <c r="N22" s="213"/>
      <c r="O22" s="214"/>
    </row>
    <row r="23" spans="1:19" ht="24" customHeight="1" thickBot="1" x14ac:dyDescent="0.3">
      <c r="B23" s="202"/>
      <c r="C23" s="207"/>
      <c r="D23" s="53">
        <f>IF(F22="",E22,F22)</f>
        <v>0.79027777777777775</v>
      </c>
      <c r="E23" s="54"/>
      <c r="F23" s="53">
        <f>IF(D24="",E24,D24)</f>
        <v>0.85416666666666663</v>
      </c>
      <c r="G23" s="54"/>
      <c r="H23" s="54">
        <f>F23-D23</f>
        <v>6.3888888888888884E-2</v>
      </c>
      <c r="I23" s="54"/>
      <c r="J23" s="212"/>
      <c r="K23" s="213"/>
      <c r="L23" s="213"/>
      <c r="M23" s="213"/>
      <c r="N23" s="213"/>
      <c r="O23" s="214"/>
    </row>
    <row r="24" spans="1:19" ht="24" customHeight="1" thickBot="1" x14ac:dyDescent="0.3">
      <c r="B24" s="202"/>
      <c r="C24" s="207"/>
      <c r="D24" s="160">
        <v>0.85416666666666663</v>
      </c>
      <c r="E24" s="150">
        <v>0.875</v>
      </c>
      <c r="F24" s="150">
        <v>0.89652777777777781</v>
      </c>
      <c r="G24" s="151">
        <f>F24-D24</f>
        <v>4.2361111111111183E-2</v>
      </c>
      <c r="H24" s="188">
        <v>93</v>
      </c>
      <c r="I24" s="161">
        <v>2</v>
      </c>
      <c r="J24" s="212"/>
      <c r="K24" s="213"/>
      <c r="L24" s="213"/>
      <c r="M24" s="213"/>
      <c r="N24" s="213"/>
      <c r="O24" s="214"/>
    </row>
    <row r="25" spans="1:19" s="131" customFormat="1" ht="24" customHeight="1" thickBot="1" x14ac:dyDescent="0.3">
      <c r="A25" s="27"/>
      <c r="B25" s="202"/>
      <c r="C25" s="208"/>
      <c r="D25" s="198" t="s">
        <v>295</v>
      </c>
      <c r="E25" s="199"/>
      <c r="F25" s="199"/>
      <c r="G25" s="199"/>
      <c r="H25" s="199"/>
      <c r="I25" s="200"/>
      <c r="J25" s="212"/>
      <c r="K25" s="213"/>
      <c r="L25" s="213"/>
      <c r="M25" s="213"/>
      <c r="N25" s="213"/>
      <c r="O25" s="214"/>
      <c r="P25" s="17"/>
      <c r="Q25" s="17"/>
      <c r="R25" s="17"/>
      <c r="S25" s="17"/>
    </row>
    <row r="26" spans="1:19" ht="24" customHeight="1" thickBot="1" x14ac:dyDescent="0.3">
      <c r="B26" s="203"/>
      <c r="C26" s="55" t="s">
        <v>128</v>
      </c>
      <c r="D26" s="45">
        <f>MAX(E19:F24)-IF(D19="",E19,D19)-MIN(H19:H24)+$C16</f>
        <v>0.27152777777777787</v>
      </c>
      <c r="E26" s="93"/>
      <c r="F26" s="93"/>
      <c r="G26" s="94"/>
      <c r="H26" s="95">
        <f ca="1">OFFSET(H18,MATCH(MIN(H19:H24),H19:H24,0),-4)-IF(D19="",E19,D19)</f>
        <v>0.21527777777777779</v>
      </c>
      <c r="I26" s="96"/>
      <c r="J26" s="215"/>
      <c r="K26" s="216"/>
      <c r="L26" s="216"/>
      <c r="M26" s="216"/>
      <c r="N26" s="216"/>
      <c r="O26" s="217"/>
    </row>
    <row r="27" spans="1:19" customFormat="1" ht="24" customHeight="1" thickBot="1" x14ac:dyDescent="0.3">
      <c r="P27" s="17"/>
      <c r="Q27" s="17"/>
      <c r="R27" s="17"/>
      <c r="S27" s="17"/>
    </row>
    <row r="28" spans="1:19" ht="24" customHeight="1" thickBot="1" x14ac:dyDescent="0.3">
      <c r="I28" s="176"/>
      <c r="J28" s="190" t="s">
        <v>292</v>
      </c>
      <c r="K28" s="191"/>
      <c r="L28" s="191"/>
      <c r="M28" s="191"/>
      <c r="N28" s="191"/>
      <c r="O28" s="192"/>
    </row>
    <row r="29" spans="1:19" ht="24" customHeight="1" x14ac:dyDescent="0.25">
      <c r="D29"/>
      <c r="E29"/>
      <c r="F29"/>
      <c r="G29"/>
      <c r="H29"/>
      <c r="I29"/>
      <c r="J29"/>
      <c r="L29"/>
      <c r="M29"/>
    </row>
    <row r="30" spans="1:19" ht="24" customHeight="1" x14ac:dyDescent="0.25">
      <c r="D30"/>
      <c r="E30"/>
      <c r="F30"/>
      <c r="G30"/>
    </row>
    <row r="31" spans="1:19" ht="24" customHeight="1" x14ac:dyDescent="0.25">
      <c r="D31"/>
      <c r="E31"/>
      <c r="F31"/>
      <c r="G31"/>
      <c r="H31"/>
      <c r="I31"/>
      <c r="J31"/>
      <c r="L31"/>
      <c r="M31"/>
      <c r="N31" s="59"/>
    </row>
    <row r="32" spans="1:19" ht="24" customHeight="1" x14ac:dyDescent="0.25">
      <c r="D32"/>
      <c r="E32"/>
      <c r="F32"/>
      <c r="G32"/>
      <c r="H32"/>
      <c r="I32"/>
      <c r="J32"/>
      <c r="L32"/>
      <c r="M32"/>
      <c r="N32" s="59"/>
    </row>
    <row r="33" spans="12:14" ht="24" customHeight="1" x14ac:dyDescent="0.25">
      <c r="L33"/>
      <c r="M33"/>
      <c r="N33" s="59"/>
    </row>
    <row r="34" spans="12:14" ht="24" customHeight="1" x14ac:dyDescent="0.25">
      <c r="L34"/>
      <c r="M34"/>
      <c r="N34" s="59"/>
    </row>
    <row r="35" spans="12:14" ht="24" customHeight="1" x14ac:dyDescent="0.25">
      <c r="L35"/>
      <c r="M35"/>
      <c r="N35" s="59"/>
    </row>
    <row r="36" spans="12:14" ht="24" customHeight="1" x14ac:dyDescent="0.25">
      <c r="L36"/>
      <c r="M36"/>
      <c r="N36" s="59"/>
    </row>
    <row r="37" spans="12:14" ht="24" customHeight="1" x14ac:dyDescent="0.25">
      <c r="L37"/>
      <c r="M37"/>
      <c r="N37" s="59"/>
    </row>
    <row r="38" spans="12:14" ht="24" customHeight="1" x14ac:dyDescent="0.25">
      <c r="L38"/>
      <c r="M38"/>
      <c r="N38" s="59"/>
    </row>
    <row r="39" spans="12:14" ht="24" customHeight="1" x14ac:dyDescent="0.25">
      <c r="L39"/>
      <c r="M39"/>
      <c r="N39" s="59"/>
    </row>
    <row r="40" spans="12:14" ht="24" customHeight="1" x14ac:dyDescent="0.25">
      <c r="L40"/>
      <c r="M40"/>
      <c r="N40" s="59"/>
    </row>
    <row r="41" spans="12:14" ht="24" customHeight="1" x14ac:dyDescent="0.25">
      <c r="L41"/>
      <c r="M41"/>
      <c r="N41" s="59"/>
    </row>
    <row r="42" spans="12:14" ht="24" customHeight="1" x14ac:dyDescent="0.25">
      <c r="L42"/>
      <c r="M42"/>
      <c r="N42" s="59"/>
    </row>
    <row r="43" spans="12:14" ht="24" customHeight="1" x14ac:dyDescent="0.25">
      <c r="L43"/>
      <c r="M43"/>
      <c r="N43" s="59"/>
    </row>
    <row r="44" spans="12:14" ht="24" customHeight="1" x14ac:dyDescent="0.25">
      <c r="L44"/>
      <c r="M44"/>
      <c r="N44" s="59"/>
    </row>
    <row r="45" spans="12:14" ht="24" customHeight="1" x14ac:dyDescent="0.25">
      <c r="L45"/>
      <c r="M45"/>
      <c r="N45" s="59"/>
    </row>
    <row r="46" spans="12:14" ht="24" customHeight="1" x14ac:dyDescent="0.25">
      <c r="L46"/>
      <c r="M46"/>
      <c r="N46" s="59"/>
    </row>
    <row r="47" spans="12:14" ht="24" customHeight="1" x14ac:dyDescent="0.25">
      <c r="L47"/>
      <c r="M47"/>
      <c r="N47" s="59"/>
    </row>
    <row r="48" spans="12:14" ht="24" customHeight="1" x14ac:dyDescent="0.25">
      <c r="L48"/>
      <c r="M48"/>
      <c r="N48" s="59"/>
    </row>
    <row r="49" spans="12:14" ht="24" customHeight="1" x14ac:dyDescent="0.25">
      <c r="L49"/>
      <c r="M49"/>
      <c r="N49" s="59"/>
    </row>
    <row r="50" spans="12:14" ht="24" customHeight="1" x14ac:dyDescent="0.25">
      <c r="L50"/>
      <c r="M50"/>
      <c r="N50" s="59"/>
    </row>
    <row r="51" spans="12:14" ht="24" customHeight="1" x14ac:dyDescent="0.25">
      <c r="L51"/>
      <c r="M51"/>
      <c r="N51" s="59"/>
    </row>
  </sheetData>
  <mergeCells count="16">
    <mergeCell ref="B2:B26"/>
    <mergeCell ref="C5:C14"/>
    <mergeCell ref="D14:I14"/>
    <mergeCell ref="J14:O14"/>
    <mergeCell ref="C18:C25"/>
    <mergeCell ref="D25:I25"/>
    <mergeCell ref="J17:O26"/>
    <mergeCell ref="J28:O28"/>
    <mergeCell ref="C3:C4"/>
    <mergeCell ref="C16:C17"/>
    <mergeCell ref="U4:Z4"/>
    <mergeCell ref="AB4:AG4"/>
    <mergeCell ref="AB10:AG10"/>
    <mergeCell ref="U7:Z7"/>
    <mergeCell ref="AB8:AG8"/>
    <mergeCell ref="AB15:AG15"/>
  </mergeCells>
  <conditionalFormatting sqref="D4">
    <cfRule type="colorScale" priority="28">
      <colorScale>
        <cfvo type="min"/>
        <cfvo type="max"/>
        <color rgb="FFFF7128"/>
        <color rgb="FFFFEF9C"/>
      </colorScale>
    </cfRule>
  </conditionalFormatting>
  <conditionalFormatting sqref="E4">
    <cfRule type="notContainsBlanks" dxfId="113" priority="27">
      <formula>LEN(TRIM(E4))&gt;0</formula>
    </cfRule>
  </conditionalFormatting>
  <conditionalFormatting sqref="F4:I4">
    <cfRule type="notContainsBlanks" dxfId="112" priority="26">
      <formula>LEN(TRIM(F4))&gt;0</formula>
    </cfRule>
  </conditionalFormatting>
  <conditionalFormatting sqref="D4:I4">
    <cfRule type="expression" dxfId="111" priority="25" stopIfTrue="1">
      <formula>LEN($D4)=14</formula>
    </cfRule>
  </conditionalFormatting>
  <conditionalFormatting sqref="J4:O4">
    <cfRule type="expression" dxfId="110" priority="24">
      <formula>LEN($J4)=14</formula>
    </cfRule>
  </conditionalFormatting>
  <conditionalFormatting sqref="U4">
    <cfRule type="expression" dxfId="109" priority="3">
      <formula>LEN($J4)=14</formula>
    </cfRule>
  </conditionalFormatting>
  <conditionalFormatting sqref="AB4">
    <cfRule type="expression" dxfId="108" priority="2">
      <formula>LEN($J4)=14</formula>
    </cfRule>
  </conditionalFormatting>
  <conditionalFormatting sqref="AB10">
    <cfRule type="expression" dxfId="107" priority="1">
      <formula>LEN($J10)=14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0B9E-FD83-4C5E-8AD7-0448FCC7CE30}">
  <dimension ref="A1:Z51"/>
  <sheetViews>
    <sheetView zoomScale="70" zoomScaleNormal="70" workbookViewId="0">
      <selection activeCell="J4" sqref="J4:O14"/>
    </sheetView>
  </sheetViews>
  <sheetFormatPr defaultColWidth="8.7109375" defaultRowHeight="24" customHeight="1" x14ac:dyDescent="0.25"/>
  <cols>
    <col min="1" max="16384" width="8.7109375" style="17"/>
  </cols>
  <sheetData>
    <row r="1" spans="1:26" customFormat="1" ht="24" customHeight="1" thickBot="1" x14ac:dyDescent="0.3"/>
    <row r="2" spans="1:26" ht="24" customHeight="1" thickBot="1" x14ac:dyDescent="0.3">
      <c r="B2" s="201" t="s">
        <v>294</v>
      </c>
      <c r="C2" s="107" t="s">
        <v>288</v>
      </c>
      <c r="D2" s="41"/>
      <c r="E2" s="41"/>
      <c r="F2" s="41"/>
      <c r="G2" s="41"/>
      <c r="H2" s="42"/>
      <c r="I2" s="40"/>
      <c r="J2" s="41"/>
      <c r="K2" s="41"/>
      <c r="L2" s="41"/>
      <c r="M2" s="41"/>
      <c r="N2" s="42"/>
      <c r="O2" s="40"/>
      <c r="P2" s="132" t="s">
        <v>291</v>
      </c>
      <c r="Q2" s="41"/>
      <c r="R2" s="41"/>
      <c r="S2" s="42"/>
      <c r="U2"/>
      <c r="V2"/>
      <c r="W2"/>
      <c r="X2"/>
    </row>
    <row r="3" spans="1:26" ht="24" customHeight="1" thickBot="1" x14ac:dyDescent="0.3">
      <c r="B3" s="202"/>
      <c r="C3" s="193">
        <v>1.3888888888888888E-2</v>
      </c>
      <c r="D3" s="40" t="s">
        <v>6</v>
      </c>
      <c r="E3" s="41"/>
      <c r="F3" s="41"/>
      <c r="G3" s="41"/>
      <c r="H3" s="41"/>
      <c r="I3" s="42"/>
      <c r="J3" s="40"/>
      <c r="K3" s="41"/>
      <c r="L3" s="41"/>
      <c r="M3" s="41"/>
      <c r="N3" s="41"/>
      <c r="O3" s="42"/>
      <c r="P3" s="133" t="s">
        <v>124</v>
      </c>
      <c r="Q3" s="43"/>
      <c r="R3" s="43"/>
      <c r="S3" s="44"/>
      <c r="U3"/>
      <c r="V3"/>
      <c r="W3"/>
      <c r="X3"/>
    </row>
    <row r="4" spans="1:26" ht="24" customHeight="1" thickBot="1" x14ac:dyDescent="0.3">
      <c r="B4" s="202"/>
      <c r="C4" s="194"/>
      <c r="D4" s="40" t="s">
        <v>244</v>
      </c>
      <c r="E4" s="41"/>
      <c r="F4" s="41"/>
      <c r="G4" s="41"/>
      <c r="H4" s="41"/>
      <c r="I4" s="42"/>
      <c r="J4" s="209"/>
      <c r="K4" s="210"/>
      <c r="L4" s="210"/>
      <c r="M4" s="210"/>
      <c r="N4" s="210"/>
      <c r="O4" s="211"/>
      <c r="P4" s="132" t="str">
        <f>CONCATENATE(COUNT(P6:P13,R6:R13)," VIAGENS")</f>
        <v>15 VIAGENS</v>
      </c>
      <c r="Q4" s="41"/>
      <c r="R4" s="41"/>
      <c r="S4" s="42"/>
      <c r="U4" s="195" t="s">
        <v>245</v>
      </c>
      <c r="V4" s="196"/>
      <c r="W4" s="196"/>
      <c r="X4" s="196"/>
      <c r="Y4" s="196"/>
      <c r="Z4" s="197"/>
    </row>
    <row r="5" spans="1:26" ht="24" customHeight="1" thickBot="1" x14ac:dyDescent="0.3">
      <c r="B5" s="202"/>
      <c r="C5" s="204" t="s">
        <v>5</v>
      </c>
      <c r="D5" s="58" t="s">
        <v>0</v>
      </c>
      <c r="E5" s="58" t="s">
        <v>1</v>
      </c>
      <c r="F5" s="58" t="s">
        <v>2</v>
      </c>
      <c r="G5" s="58" t="s">
        <v>3</v>
      </c>
      <c r="H5" s="58" t="s">
        <v>4</v>
      </c>
      <c r="I5" s="58" t="s">
        <v>12</v>
      </c>
      <c r="J5" s="212"/>
      <c r="K5" s="213"/>
      <c r="L5" s="213"/>
      <c r="M5" s="213"/>
      <c r="N5" s="213"/>
      <c r="O5" s="214"/>
      <c r="P5" s="145" t="s">
        <v>8</v>
      </c>
      <c r="Q5" s="2" t="s">
        <v>9</v>
      </c>
      <c r="R5" s="145" t="s">
        <v>8</v>
      </c>
      <c r="S5" s="2" t="s">
        <v>9</v>
      </c>
      <c r="U5" s="58" t="s">
        <v>0</v>
      </c>
      <c r="V5" s="58" t="s">
        <v>1</v>
      </c>
      <c r="W5" s="58" t="s">
        <v>2</v>
      </c>
      <c r="X5" s="58" t="s">
        <v>3</v>
      </c>
      <c r="Y5" s="58" t="s">
        <v>4</v>
      </c>
      <c r="Z5" s="58" t="s">
        <v>12</v>
      </c>
    </row>
    <row r="6" spans="1:26" ht="24" customHeight="1" thickBot="1" x14ac:dyDescent="0.3">
      <c r="B6" s="202"/>
      <c r="C6" s="205"/>
      <c r="D6" s="155">
        <v>0.22222222222222221</v>
      </c>
      <c r="E6" s="156">
        <v>0.24513888888888888</v>
      </c>
      <c r="F6" s="156">
        <v>0.26527777777777778</v>
      </c>
      <c r="G6" s="157">
        <f t="shared" ref="G6:G9" si="0">F6-D6</f>
        <v>4.3055555555555569E-2</v>
      </c>
      <c r="H6" s="187">
        <v>94</v>
      </c>
      <c r="I6" s="159">
        <v>3</v>
      </c>
      <c r="J6" s="212"/>
      <c r="K6" s="213"/>
      <c r="L6" s="213"/>
      <c r="M6" s="213"/>
      <c r="N6" s="213"/>
      <c r="O6" s="214"/>
      <c r="P6" s="155">
        <v>0.22222222222222221</v>
      </c>
      <c r="Q6" s="13"/>
      <c r="R6" s="156">
        <v>0.58194444444444449</v>
      </c>
      <c r="S6" s="14">
        <f>R6-P13</f>
        <v>3.5416666666666763E-2</v>
      </c>
      <c r="U6" s="160">
        <v>0.27083333333333331</v>
      </c>
      <c r="V6" s="150">
        <v>0.29305555555555557</v>
      </c>
      <c r="W6" s="150">
        <v>0.3125</v>
      </c>
      <c r="X6" s="151">
        <f t="shared" ref="X6" si="1">W6-U6</f>
        <v>4.1666666666666685E-2</v>
      </c>
      <c r="Y6" s="188">
        <v>94</v>
      </c>
      <c r="Z6" s="161">
        <v>1</v>
      </c>
    </row>
    <row r="7" spans="1:26" ht="24" customHeight="1" thickBot="1" x14ac:dyDescent="0.3">
      <c r="B7" s="202"/>
      <c r="C7" s="205"/>
      <c r="D7" s="160">
        <v>0.27708333333333335</v>
      </c>
      <c r="E7" s="150">
        <v>0.2951388888888889</v>
      </c>
      <c r="F7" s="150">
        <v>0.31388888888888888</v>
      </c>
      <c r="G7" s="151">
        <f t="shared" si="0"/>
        <v>3.6805555555555536E-2</v>
      </c>
      <c r="H7" s="188">
        <v>93</v>
      </c>
      <c r="I7" s="161">
        <v>3</v>
      </c>
      <c r="J7" s="212"/>
      <c r="K7" s="213"/>
      <c r="L7" s="213"/>
      <c r="M7" s="213"/>
      <c r="N7" s="213"/>
      <c r="O7" s="214"/>
      <c r="P7" s="186">
        <v>0.27083333333333331</v>
      </c>
      <c r="Q7" s="15">
        <f>P7-P6</f>
        <v>4.8611111111111105E-2</v>
      </c>
      <c r="R7" s="150">
        <v>0.6166666666666667</v>
      </c>
      <c r="S7" s="16">
        <f t="shared" ref="S7:S12" si="2">R7-R6</f>
        <v>3.472222222222221E-2</v>
      </c>
      <c r="U7" s="198" t="s">
        <v>295</v>
      </c>
      <c r="V7" s="199"/>
      <c r="W7" s="199"/>
      <c r="X7" s="199"/>
      <c r="Y7" s="199"/>
      <c r="Z7" s="200"/>
    </row>
    <row r="8" spans="1:26" ht="24" customHeight="1" thickBot="1" x14ac:dyDescent="0.3">
      <c r="B8" s="202"/>
      <c r="C8" s="205"/>
      <c r="D8" s="160">
        <v>0.31944444444444442</v>
      </c>
      <c r="E8" s="150">
        <v>0.34305555555555556</v>
      </c>
      <c r="F8" s="150">
        <v>0.36180555555555555</v>
      </c>
      <c r="G8" s="151">
        <f t="shared" si="0"/>
        <v>4.2361111111111127E-2</v>
      </c>
      <c r="H8" s="188">
        <v>94</v>
      </c>
      <c r="I8" s="161">
        <v>3</v>
      </c>
      <c r="J8" s="212"/>
      <c r="K8" s="213"/>
      <c r="L8" s="213"/>
      <c r="M8" s="213"/>
      <c r="N8" s="213"/>
      <c r="O8" s="214"/>
      <c r="P8" s="160">
        <v>0.31944444444444442</v>
      </c>
      <c r="Q8" s="15">
        <f t="shared" ref="Q8:Q13" si="3">P8-P7</f>
        <v>4.8611111111111105E-2</v>
      </c>
      <c r="R8" s="150">
        <v>0.65138888888888891</v>
      </c>
      <c r="S8" s="16">
        <f t="shared" si="2"/>
        <v>3.472222222222221E-2</v>
      </c>
    </row>
    <row r="9" spans="1:26" ht="24" customHeight="1" thickBot="1" x14ac:dyDescent="0.3">
      <c r="B9" s="202"/>
      <c r="C9" s="205"/>
      <c r="D9" s="160">
        <v>0.36805555555555558</v>
      </c>
      <c r="E9" s="150">
        <v>0.39166666666666666</v>
      </c>
      <c r="F9" s="150">
        <v>0.41249999999999998</v>
      </c>
      <c r="G9" s="151">
        <f t="shared" si="0"/>
        <v>4.4444444444444398E-2</v>
      </c>
      <c r="H9" s="188">
        <v>94</v>
      </c>
      <c r="I9" s="161">
        <v>3</v>
      </c>
      <c r="J9" s="212"/>
      <c r="K9" s="213"/>
      <c r="L9" s="213"/>
      <c r="M9" s="213"/>
      <c r="N9" s="213"/>
      <c r="O9" s="214"/>
      <c r="P9" s="160">
        <v>0.36805555555555558</v>
      </c>
      <c r="Q9" s="15">
        <f t="shared" si="3"/>
        <v>4.861111111111116E-2</v>
      </c>
      <c r="R9" s="150">
        <v>0.72291666666666665</v>
      </c>
      <c r="S9" s="16">
        <f t="shared" si="2"/>
        <v>7.1527777777777746E-2</v>
      </c>
      <c r="U9" s="195" t="s">
        <v>246</v>
      </c>
      <c r="V9" s="196"/>
      <c r="W9" s="196"/>
      <c r="X9" s="196"/>
      <c r="Y9" s="196"/>
      <c r="Z9" s="197"/>
    </row>
    <row r="10" spans="1:26" ht="24" customHeight="1" thickBot="1" x14ac:dyDescent="0.3">
      <c r="B10" s="202"/>
      <c r="C10" s="205"/>
      <c r="D10" s="53">
        <f>IF(F9="",E9,F9)</f>
        <v>0.41249999999999998</v>
      </c>
      <c r="E10" s="54"/>
      <c r="F10" s="53">
        <f>IF(D11="",E11,D11)</f>
        <v>0.47499999999999998</v>
      </c>
      <c r="G10" s="54"/>
      <c r="H10" s="54">
        <f>F10-D10</f>
        <v>6.25E-2</v>
      </c>
      <c r="I10" s="54"/>
      <c r="J10" s="212"/>
      <c r="K10" s="213"/>
      <c r="L10" s="213"/>
      <c r="M10" s="213"/>
      <c r="N10" s="213"/>
      <c r="O10" s="214"/>
      <c r="P10" s="186">
        <v>0.43680555555555556</v>
      </c>
      <c r="Q10" s="15">
        <f t="shared" si="3"/>
        <v>6.8749999999999978E-2</v>
      </c>
      <c r="R10" s="150">
        <v>0.78541666666666665</v>
      </c>
      <c r="S10" s="16">
        <f t="shared" si="2"/>
        <v>6.25E-2</v>
      </c>
      <c r="U10" s="58" t="s">
        <v>0</v>
      </c>
      <c r="V10" s="58" t="s">
        <v>1</v>
      </c>
      <c r="W10" s="58" t="s">
        <v>2</v>
      </c>
      <c r="X10" s="58" t="s">
        <v>3</v>
      </c>
      <c r="Y10" s="58" t="s">
        <v>4</v>
      </c>
      <c r="Z10" s="58" t="s">
        <v>12</v>
      </c>
    </row>
    <row r="11" spans="1:26" ht="24" customHeight="1" x14ac:dyDescent="0.25">
      <c r="B11" s="202"/>
      <c r="C11" s="205"/>
      <c r="D11" s="160">
        <v>0.47499999999999998</v>
      </c>
      <c r="E11" s="150">
        <v>0.50069444444444444</v>
      </c>
      <c r="F11" s="150">
        <v>0.52083333333333337</v>
      </c>
      <c r="G11" s="151">
        <f t="shared" ref="G11:G12" si="4">F11-D11</f>
        <v>4.5833333333333393E-2</v>
      </c>
      <c r="H11" s="188">
        <v>94</v>
      </c>
      <c r="I11" s="161">
        <v>3</v>
      </c>
      <c r="J11" s="212"/>
      <c r="K11" s="213"/>
      <c r="L11" s="213"/>
      <c r="M11" s="213"/>
      <c r="N11" s="213"/>
      <c r="O11" s="214"/>
      <c r="P11" s="160">
        <v>0.47499999999999998</v>
      </c>
      <c r="Q11" s="15">
        <f t="shared" si="3"/>
        <v>3.819444444444442E-2</v>
      </c>
      <c r="R11" s="150">
        <v>0.87152777777777779</v>
      </c>
      <c r="S11" s="16">
        <f t="shared" si="2"/>
        <v>8.6111111111111138E-2</v>
      </c>
      <c r="U11" s="160">
        <v>0.43680555555555556</v>
      </c>
      <c r="V11" s="150">
        <v>0.46527777777777779</v>
      </c>
      <c r="W11" s="150">
        <v>0.48541666666666666</v>
      </c>
      <c r="X11" s="151">
        <f t="shared" ref="X11:X12" si="5">W11-U11</f>
        <v>4.8611111111111105E-2</v>
      </c>
      <c r="Y11" s="188">
        <v>94</v>
      </c>
      <c r="Z11" s="161">
        <v>2</v>
      </c>
    </row>
    <row r="12" spans="1:26" ht="24" customHeight="1" thickBot="1" x14ac:dyDescent="0.3">
      <c r="B12" s="202"/>
      <c r="C12" s="205"/>
      <c r="D12" s="160">
        <v>0.54652777777777772</v>
      </c>
      <c r="E12" s="150">
        <v>0.57013888888888886</v>
      </c>
      <c r="F12" s="150">
        <v>0.59236111111111112</v>
      </c>
      <c r="G12" s="151">
        <f t="shared" si="4"/>
        <v>4.5833333333333393E-2</v>
      </c>
      <c r="H12" s="188">
        <v>94</v>
      </c>
      <c r="I12" s="161">
        <v>3</v>
      </c>
      <c r="J12" s="212"/>
      <c r="K12" s="213"/>
      <c r="L12" s="213"/>
      <c r="M12" s="213"/>
      <c r="N12" s="213"/>
      <c r="O12" s="214"/>
      <c r="P12" s="186">
        <v>0.51041666666666663</v>
      </c>
      <c r="Q12" s="15">
        <f t="shared" si="3"/>
        <v>3.5416666666666652E-2</v>
      </c>
      <c r="R12" s="150">
        <v>0.92708333333333337</v>
      </c>
      <c r="S12" s="16">
        <f t="shared" si="2"/>
        <v>5.555555555555558E-2</v>
      </c>
      <c r="U12" s="160">
        <v>0.51041666666666663</v>
      </c>
      <c r="V12" s="150">
        <v>0.53125</v>
      </c>
      <c r="W12" s="150">
        <v>0.55000000000000004</v>
      </c>
      <c r="X12" s="151">
        <f t="shared" si="5"/>
        <v>3.9583333333333415E-2</v>
      </c>
      <c r="Y12" s="188">
        <v>94</v>
      </c>
      <c r="Z12" s="161">
        <v>2</v>
      </c>
    </row>
    <row r="13" spans="1:26" s="131" customFormat="1" ht="24" customHeight="1" thickBot="1" x14ac:dyDescent="0.3">
      <c r="A13" s="27"/>
      <c r="B13" s="202"/>
      <c r="C13" s="206"/>
      <c r="D13" s="198" t="s">
        <v>295</v>
      </c>
      <c r="E13" s="199"/>
      <c r="F13" s="199"/>
      <c r="G13" s="199"/>
      <c r="H13" s="199"/>
      <c r="I13" s="200"/>
      <c r="J13" s="212"/>
      <c r="K13" s="213"/>
      <c r="L13" s="213"/>
      <c r="M13" s="213"/>
      <c r="N13" s="213"/>
      <c r="O13" s="214"/>
      <c r="P13" s="163">
        <v>0.54652777777777772</v>
      </c>
      <c r="Q13" s="173">
        <f t="shared" si="3"/>
        <v>3.6111111111111094E-2</v>
      </c>
      <c r="R13" s="177"/>
      <c r="S13" s="178"/>
      <c r="U13" s="198" t="s">
        <v>295</v>
      </c>
      <c r="V13" s="199"/>
      <c r="W13" s="199"/>
      <c r="X13" s="199"/>
      <c r="Y13" s="199"/>
      <c r="Z13" s="200"/>
    </row>
    <row r="14" spans="1:26" ht="24" customHeight="1" thickBot="1" x14ac:dyDescent="0.3">
      <c r="B14" s="202"/>
      <c r="C14" s="55" t="s">
        <v>128</v>
      </c>
      <c r="D14" s="45">
        <f>MAX(E6:F12)-IF(D6="",E6,D6)-MIN(H6:H12)+$C3</f>
        <v>0.3215277777777778</v>
      </c>
      <c r="E14" s="48"/>
      <c r="F14" s="48"/>
      <c r="G14" s="49"/>
      <c r="H14" s="46">
        <f ca="1">OFFSET(H5,MATCH(MIN(H6:H12),H6:H12,0),-4)-IF(D6="",E6,D6)+$C3</f>
        <v>0.20416666666666666</v>
      </c>
      <c r="I14" s="47"/>
      <c r="J14" s="215"/>
      <c r="K14" s="216"/>
      <c r="L14" s="216"/>
      <c r="M14" s="216"/>
      <c r="N14" s="216"/>
      <c r="O14" s="217"/>
    </row>
    <row r="15" spans="1:26" ht="24" customHeight="1" thickBot="1" x14ac:dyDescent="0.3">
      <c r="B15" s="202"/>
      <c r="C15" s="193">
        <v>1.3888888888888888E-2</v>
      </c>
      <c r="D15" s="40" t="s">
        <v>7</v>
      </c>
      <c r="E15" s="41"/>
      <c r="F15" s="41"/>
      <c r="G15" s="41"/>
      <c r="H15" s="41"/>
      <c r="I15" s="42"/>
      <c r="J15" s="40"/>
      <c r="K15" s="41"/>
      <c r="L15" s="41"/>
      <c r="M15" s="41"/>
      <c r="N15" s="41"/>
      <c r="O15" s="42"/>
    </row>
    <row r="16" spans="1:26" ht="24" customHeight="1" thickBot="1" x14ac:dyDescent="0.3">
      <c r="B16" s="202"/>
      <c r="C16" s="194"/>
      <c r="D16" s="40" t="s">
        <v>266</v>
      </c>
      <c r="E16" s="41"/>
      <c r="F16" s="41"/>
      <c r="G16" s="41"/>
      <c r="H16" s="41"/>
      <c r="I16" s="42"/>
      <c r="J16" s="40" t="s">
        <v>267</v>
      </c>
      <c r="K16" s="41"/>
      <c r="L16" s="41"/>
      <c r="M16" s="41"/>
      <c r="N16" s="41"/>
      <c r="O16" s="42"/>
    </row>
    <row r="17" spans="1:19" ht="24" customHeight="1" thickBot="1" x14ac:dyDescent="0.3">
      <c r="B17" s="202"/>
      <c r="C17" s="204" t="s">
        <v>5</v>
      </c>
      <c r="D17" s="146" t="s">
        <v>0</v>
      </c>
      <c r="E17" s="58" t="s">
        <v>1</v>
      </c>
      <c r="F17" s="147" t="s">
        <v>2</v>
      </c>
      <c r="G17" s="58" t="s">
        <v>3</v>
      </c>
      <c r="H17" s="147" t="s">
        <v>4</v>
      </c>
      <c r="I17" s="58" t="s">
        <v>12</v>
      </c>
      <c r="J17" s="147" t="s">
        <v>0</v>
      </c>
      <c r="K17" s="58" t="s">
        <v>1</v>
      </c>
      <c r="L17" s="147" t="s">
        <v>2</v>
      </c>
      <c r="M17" s="58" t="s">
        <v>3</v>
      </c>
      <c r="N17" s="147" t="s">
        <v>4</v>
      </c>
      <c r="O17" s="58" t="s">
        <v>12</v>
      </c>
    </row>
    <row r="18" spans="1:19" ht="24" customHeight="1" x14ac:dyDescent="0.25">
      <c r="B18" s="202"/>
      <c r="C18" s="207"/>
      <c r="D18" s="155">
        <v>0.58194444444444449</v>
      </c>
      <c r="E18" s="156">
        <v>0.60763888888888884</v>
      </c>
      <c r="F18" s="156">
        <v>0.63124999999999998</v>
      </c>
      <c r="G18" s="157">
        <f t="shared" ref="G18:G21" si="6">F18-D18</f>
        <v>4.9305555555555491E-2</v>
      </c>
      <c r="H18" s="187">
        <v>94</v>
      </c>
      <c r="I18" s="159">
        <v>1</v>
      </c>
      <c r="J18" s="155">
        <v>0.6166666666666667</v>
      </c>
      <c r="K18" s="156">
        <v>0.6381944444444444</v>
      </c>
      <c r="L18" s="156">
        <v>0.65902777777777777</v>
      </c>
      <c r="M18" s="157">
        <f t="shared" ref="M18:M21" si="7">L18-J18</f>
        <v>4.2361111111111072E-2</v>
      </c>
      <c r="N18" s="187">
        <v>94</v>
      </c>
      <c r="O18" s="159">
        <v>3</v>
      </c>
    </row>
    <row r="19" spans="1:19" ht="24" customHeight="1" x14ac:dyDescent="0.25">
      <c r="B19" s="202"/>
      <c r="C19" s="207"/>
      <c r="D19" s="160">
        <v>0.65138888888888891</v>
      </c>
      <c r="E19" s="150">
        <v>0.6743055555555556</v>
      </c>
      <c r="F19" s="150">
        <v>0.69652777777777775</v>
      </c>
      <c r="G19" s="151">
        <f t="shared" si="6"/>
        <v>4.513888888888884E-2</v>
      </c>
      <c r="H19" s="188">
        <v>94</v>
      </c>
      <c r="I19" s="161">
        <v>1</v>
      </c>
      <c r="J19" s="160">
        <v>0.66666666666666663</v>
      </c>
      <c r="K19" s="150">
        <v>0.68958333333333333</v>
      </c>
      <c r="L19" s="150">
        <v>0.71180555555555558</v>
      </c>
      <c r="M19" s="151">
        <f t="shared" si="7"/>
        <v>4.5138888888888951E-2</v>
      </c>
      <c r="N19" s="188">
        <v>93</v>
      </c>
      <c r="O19" s="161">
        <v>3</v>
      </c>
    </row>
    <row r="20" spans="1:19" ht="24" customHeight="1" x14ac:dyDescent="0.25">
      <c r="B20" s="202"/>
      <c r="C20" s="207"/>
      <c r="D20" s="160">
        <v>0.71527777777777779</v>
      </c>
      <c r="E20" s="150">
        <v>0.73541666666666672</v>
      </c>
      <c r="F20" s="150">
        <v>0.75972222222222219</v>
      </c>
      <c r="G20" s="151">
        <f t="shared" si="6"/>
        <v>4.4444444444444398E-2</v>
      </c>
      <c r="H20" s="188">
        <v>93</v>
      </c>
      <c r="I20" s="161">
        <v>1</v>
      </c>
      <c r="J20" s="160">
        <v>0.72291666666666665</v>
      </c>
      <c r="K20" s="150">
        <v>0.74930555555555556</v>
      </c>
      <c r="L20" s="150">
        <v>0.77708333333333335</v>
      </c>
      <c r="M20" s="151">
        <f t="shared" si="7"/>
        <v>5.4166666666666696E-2</v>
      </c>
      <c r="N20" s="188">
        <v>94</v>
      </c>
      <c r="O20" s="161">
        <v>3</v>
      </c>
    </row>
    <row r="21" spans="1:19" ht="24" customHeight="1" thickBot="1" x14ac:dyDescent="0.3">
      <c r="B21" s="202"/>
      <c r="C21" s="207"/>
      <c r="D21" s="160">
        <v>0.77638888888888891</v>
      </c>
      <c r="E21" s="150">
        <v>0.79722222222222228</v>
      </c>
      <c r="F21" s="150">
        <v>0.81666666666666665</v>
      </c>
      <c r="G21" s="151">
        <f t="shared" si="6"/>
        <v>4.0277777777777746E-2</v>
      </c>
      <c r="H21" s="188">
        <v>93</v>
      </c>
      <c r="I21" s="161">
        <v>1</v>
      </c>
      <c r="J21" s="160">
        <v>0.78541666666666665</v>
      </c>
      <c r="K21" s="150">
        <v>0.8125</v>
      </c>
      <c r="L21" s="150">
        <v>0.83680555555555558</v>
      </c>
      <c r="M21" s="151">
        <f t="shared" si="7"/>
        <v>5.1388888888888928E-2</v>
      </c>
      <c r="N21" s="188">
        <v>94</v>
      </c>
      <c r="O21" s="161">
        <v>3</v>
      </c>
    </row>
    <row r="22" spans="1:19" ht="24" customHeight="1" thickBot="1" x14ac:dyDescent="0.3">
      <c r="B22" s="202"/>
      <c r="C22" s="207"/>
      <c r="D22" s="53">
        <f>IF(F21="",E21,F21)</f>
        <v>0.81666666666666665</v>
      </c>
      <c r="E22" s="54"/>
      <c r="F22" s="53">
        <f>IF(D23="",E23,D23)</f>
        <v>0.87152777777777779</v>
      </c>
      <c r="G22" s="54"/>
      <c r="H22" s="54">
        <f>F22-D22</f>
        <v>5.4861111111111138E-2</v>
      </c>
      <c r="I22" s="54"/>
      <c r="J22" s="53">
        <f>IF(L21="",K21,L21)</f>
        <v>0.83680555555555558</v>
      </c>
      <c r="K22" s="54"/>
      <c r="L22" s="53">
        <f>IF(J23="",K23,J23)</f>
        <v>0.88541666666666663</v>
      </c>
      <c r="M22" s="54"/>
      <c r="N22" s="54">
        <f>L22-J22</f>
        <v>4.8611111111111049E-2</v>
      </c>
      <c r="O22" s="54"/>
    </row>
    <row r="23" spans="1:19" ht="24" customHeight="1" x14ac:dyDescent="0.25">
      <c r="B23" s="202"/>
      <c r="C23" s="207"/>
      <c r="D23" s="160">
        <v>0.87152777777777779</v>
      </c>
      <c r="E23" s="150">
        <v>0.89375000000000004</v>
      </c>
      <c r="F23" s="150">
        <v>0.91249999999999998</v>
      </c>
      <c r="G23" s="151">
        <f t="shared" ref="G23:G24" si="8">F23-D23</f>
        <v>4.0972222222222188E-2</v>
      </c>
      <c r="H23" s="188">
        <v>94</v>
      </c>
      <c r="I23" s="161">
        <v>1</v>
      </c>
      <c r="J23" s="160">
        <v>0.88541666666666663</v>
      </c>
      <c r="K23" s="150">
        <v>0.90486111111111112</v>
      </c>
      <c r="L23" s="150">
        <v>0.92361111111111116</v>
      </c>
      <c r="M23" s="151">
        <f t="shared" ref="M23:M24" si="9">L23-J23</f>
        <v>3.8194444444444531E-2</v>
      </c>
      <c r="N23" s="188">
        <v>93</v>
      </c>
      <c r="O23" s="161">
        <v>3</v>
      </c>
    </row>
    <row r="24" spans="1:19" ht="24" customHeight="1" thickBot="1" x14ac:dyDescent="0.3">
      <c r="B24" s="202"/>
      <c r="C24" s="207"/>
      <c r="D24" s="160">
        <v>0.92708333333333337</v>
      </c>
      <c r="E24" s="150">
        <v>0.9458333333333333</v>
      </c>
      <c r="F24" s="150">
        <v>0.96319444444444446</v>
      </c>
      <c r="G24" s="151">
        <f t="shared" si="8"/>
        <v>3.6111111111111094E-2</v>
      </c>
      <c r="H24" s="188">
        <v>94</v>
      </c>
      <c r="I24" s="161">
        <v>1</v>
      </c>
      <c r="J24" s="160">
        <v>0.93055555555555558</v>
      </c>
      <c r="K24" s="150">
        <v>0.94861111111111107</v>
      </c>
      <c r="L24" s="150">
        <v>0.96597222222222223</v>
      </c>
      <c r="M24" s="151">
        <f t="shared" si="9"/>
        <v>3.5416666666666652E-2</v>
      </c>
      <c r="N24" s="188">
        <v>93</v>
      </c>
      <c r="O24" s="161">
        <v>3</v>
      </c>
    </row>
    <row r="25" spans="1:19" s="131" customFormat="1" ht="24" customHeight="1" thickBot="1" x14ac:dyDescent="0.3">
      <c r="A25" s="27"/>
      <c r="B25" s="202"/>
      <c r="C25" s="208"/>
      <c r="D25" s="198" t="s">
        <v>295</v>
      </c>
      <c r="E25" s="199"/>
      <c r="F25" s="199"/>
      <c r="G25" s="199"/>
      <c r="H25" s="199"/>
      <c r="I25" s="200"/>
      <c r="J25" s="198" t="s">
        <v>295</v>
      </c>
      <c r="K25" s="199"/>
      <c r="L25" s="199"/>
      <c r="M25" s="199"/>
      <c r="N25" s="199"/>
      <c r="O25" s="200"/>
      <c r="P25" s="17"/>
      <c r="Q25" s="17"/>
      <c r="R25" s="17"/>
      <c r="S25" s="17"/>
    </row>
    <row r="26" spans="1:19" ht="24" customHeight="1" thickBot="1" x14ac:dyDescent="0.3">
      <c r="B26" s="203"/>
      <c r="C26" s="55" t="s">
        <v>128</v>
      </c>
      <c r="D26" s="45">
        <f>MAX(E18:F24)-IF(D18="",E18,D18)-MIN(H18:H24)+$C15</f>
        <v>0.34027777777777773</v>
      </c>
      <c r="E26" s="93"/>
      <c r="F26" s="93"/>
      <c r="G26" s="94"/>
      <c r="H26" s="95">
        <f ca="1">OFFSET(H17,MATCH(MIN(H18:H24),H18:H24,0),-4)-IF(D18="",E18,D18)</f>
        <v>0.23472222222222217</v>
      </c>
      <c r="I26" s="96"/>
      <c r="J26" s="45">
        <f>MAX(K18:L24)-IF(J18="",K18,J18)-MIN(N18:N24)+$C15</f>
        <v>0.31458333333333338</v>
      </c>
      <c r="K26" s="48"/>
      <c r="L26" s="48"/>
      <c r="M26" s="49"/>
      <c r="N26" s="95">
        <f ca="1">OFFSET(N17,MATCH(MIN(N18:N24),N18:N24,0),-4)-IF(J18="",K18,J18)</f>
        <v>0.22013888888888888</v>
      </c>
      <c r="O26" s="47"/>
    </row>
    <row r="27" spans="1:19" customFormat="1" ht="24" customHeight="1" thickBot="1" x14ac:dyDescent="0.3">
      <c r="P27" s="17"/>
      <c r="Q27" s="17"/>
      <c r="R27" s="17"/>
      <c r="S27" s="17"/>
    </row>
    <row r="28" spans="1:19" ht="24" customHeight="1" thickBot="1" x14ac:dyDescent="0.3">
      <c r="I28" s="179"/>
      <c r="J28" s="190" t="s">
        <v>293</v>
      </c>
      <c r="K28" s="191"/>
      <c r="L28" s="191"/>
      <c r="M28" s="191"/>
      <c r="N28" s="191"/>
      <c r="O28" s="192"/>
    </row>
    <row r="29" spans="1:19" ht="24" customHeight="1" x14ac:dyDescent="0.25">
      <c r="D29"/>
      <c r="E29"/>
      <c r="F29"/>
      <c r="G29"/>
      <c r="H29"/>
    </row>
    <row r="30" spans="1:19" ht="24" customHeight="1" x14ac:dyDescent="0.25">
      <c r="D30"/>
      <c r="E30"/>
      <c r="F30"/>
      <c r="G30"/>
      <c r="H30"/>
      <c r="I30"/>
      <c r="J30"/>
      <c r="L30"/>
      <c r="M30"/>
      <c r="N30" s="59"/>
    </row>
    <row r="31" spans="1:19" ht="24" customHeight="1" x14ac:dyDescent="0.25">
      <c r="D31"/>
      <c r="E31"/>
      <c r="F31"/>
      <c r="G31"/>
      <c r="H31"/>
      <c r="I31"/>
      <c r="J31"/>
      <c r="L31"/>
      <c r="M31"/>
      <c r="N31" s="59"/>
    </row>
    <row r="32" spans="1:19" ht="24" customHeight="1" x14ac:dyDescent="0.25">
      <c r="D32"/>
      <c r="E32"/>
      <c r="F32"/>
      <c r="G32"/>
      <c r="H32"/>
      <c r="I32"/>
      <c r="J32"/>
      <c r="L32"/>
      <c r="M32"/>
      <c r="N32" s="59"/>
    </row>
    <row r="33" spans="4:14" ht="24" customHeight="1" x14ac:dyDescent="0.25">
      <c r="D33"/>
      <c r="E33"/>
      <c r="F33"/>
      <c r="G33"/>
      <c r="H33"/>
      <c r="I33"/>
      <c r="J33"/>
      <c r="L33"/>
      <c r="M33"/>
      <c r="N33" s="59"/>
    </row>
    <row r="34" spans="4:14" ht="24" customHeight="1" x14ac:dyDescent="0.25">
      <c r="D34"/>
      <c r="E34"/>
      <c r="F34"/>
      <c r="G34"/>
      <c r="H34"/>
      <c r="I34"/>
      <c r="J34"/>
      <c r="L34"/>
      <c r="M34"/>
      <c r="N34" s="59"/>
    </row>
    <row r="35" spans="4:14" ht="24" customHeight="1" x14ac:dyDescent="0.25">
      <c r="L35"/>
      <c r="M35"/>
      <c r="N35" s="59"/>
    </row>
    <row r="36" spans="4:14" ht="24" customHeight="1" x14ac:dyDescent="0.25">
      <c r="L36"/>
      <c r="M36"/>
      <c r="N36" s="59"/>
    </row>
    <row r="37" spans="4:14" ht="24" customHeight="1" x14ac:dyDescent="0.25">
      <c r="L37"/>
      <c r="M37"/>
      <c r="N37" s="59"/>
    </row>
    <row r="38" spans="4:14" ht="24" customHeight="1" x14ac:dyDescent="0.25">
      <c r="L38"/>
      <c r="M38"/>
      <c r="N38" s="59"/>
    </row>
    <row r="39" spans="4:14" ht="24" customHeight="1" x14ac:dyDescent="0.25">
      <c r="L39"/>
      <c r="M39"/>
      <c r="N39" s="59"/>
    </row>
    <row r="40" spans="4:14" ht="24" customHeight="1" x14ac:dyDescent="0.25">
      <c r="L40"/>
      <c r="M40"/>
      <c r="N40" s="59"/>
    </row>
    <row r="41" spans="4:14" ht="24" customHeight="1" x14ac:dyDescent="0.25">
      <c r="L41"/>
      <c r="M41"/>
      <c r="N41" s="59"/>
    </row>
    <row r="42" spans="4:14" ht="24" customHeight="1" x14ac:dyDescent="0.25">
      <c r="L42"/>
      <c r="M42"/>
      <c r="N42" s="59"/>
    </row>
    <row r="43" spans="4:14" ht="24" customHeight="1" x14ac:dyDescent="0.25">
      <c r="L43"/>
      <c r="M43"/>
      <c r="N43" s="59"/>
    </row>
    <row r="44" spans="4:14" ht="24" customHeight="1" x14ac:dyDescent="0.25">
      <c r="L44"/>
      <c r="M44"/>
      <c r="N44" s="59"/>
    </row>
    <row r="45" spans="4:14" ht="24" customHeight="1" x14ac:dyDescent="0.25">
      <c r="L45"/>
      <c r="M45"/>
      <c r="N45" s="59"/>
    </row>
    <row r="46" spans="4:14" ht="24" customHeight="1" x14ac:dyDescent="0.25">
      <c r="L46"/>
      <c r="M46"/>
      <c r="N46" s="59"/>
    </row>
    <row r="47" spans="4:14" ht="24" customHeight="1" x14ac:dyDescent="0.25">
      <c r="L47"/>
      <c r="M47"/>
      <c r="N47" s="59"/>
    </row>
    <row r="48" spans="4:14" ht="24" customHeight="1" x14ac:dyDescent="0.25">
      <c r="L48"/>
      <c r="M48"/>
      <c r="N48" s="59"/>
    </row>
    <row r="49" spans="12:14" ht="24" customHeight="1" x14ac:dyDescent="0.25">
      <c r="L49"/>
      <c r="M49"/>
      <c r="N49" s="59"/>
    </row>
    <row r="50" spans="12:14" ht="24" customHeight="1" x14ac:dyDescent="0.25">
      <c r="L50"/>
      <c r="M50"/>
      <c r="N50" s="59"/>
    </row>
    <row r="51" spans="12:14" ht="24" customHeight="1" x14ac:dyDescent="0.25">
      <c r="L51"/>
      <c r="M51"/>
      <c r="N51" s="59"/>
    </row>
  </sheetData>
  <mergeCells count="14">
    <mergeCell ref="B2:B26"/>
    <mergeCell ref="C5:C13"/>
    <mergeCell ref="D13:I13"/>
    <mergeCell ref="C17:C25"/>
    <mergeCell ref="D25:I25"/>
    <mergeCell ref="J4:O14"/>
    <mergeCell ref="C3:C4"/>
    <mergeCell ref="C15:C16"/>
    <mergeCell ref="J28:O28"/>
    <mergeCell ref="U4:Z4"/>
    <mergeCell ref="U9:Z9"/>
    <mergeCell ref="U7:Z7"/>
    <mergeCell ref="U13:Z13"/>
    <mergeCell ref="J25:O25"/>
  </mergeCells>
  <conditionalFormatting sqref="D4">
    <cfRule type="colorScale" priority="27">
      <colorScale>
        <cfvo type="min"/>
        <cfvo type="max"/>
        <color rgb="FFFF7128"/>
        <color rgb="FFFFEF9C"/>
      </colorScale>
    </cfRule>
  </conditionalFormatting>
  <conditionalFormatting sqref="E4">
    <cfRule type="notContainsBlanks" dxfId="106" priority="26">
      <formula>LEN(TRIM(E4))&gt;0</formula>
    </cfRule>
  </conditionalFormatting>
  <conditionalFormatting sqref="F4:I4">
    <cfRule type="notContainsBlanks" dxfId="105" priority="25">
      <formula>LEN(TRIM(F4))&gt;0</formula>
    </cfRule>
  </conditionalFormatting>
  <conditionalFormatting sqref="D4:I4">
    <cfRule type="expression" dxfId="104" priority="24" stopIfTrue="1">
      <formula>LEN($D4)=14</formula>
    </cfRule>
  </conditionalFormatting>
  <conditionalFormatting sqref="J4">
    <cfRule type="expression" dxfId="103" priority="23">
      <formula>LEN($J4)=14</formula>
    </cfRule>
  </conditionalFormatting>
  <conditionalFormatting sqref="U4">
    <cfRule type="expression" dxfId="102" priority="2">
      <formula>LEN($J4)=14</formula>
    </cfRule>
  </conditionalFormatting>
  <conditionalFormatting sqref="U9">
    <cfRule type="expression" dxfId="101" priority="1">
      <formula>LEN($J9)=14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D411-2BE9-4F67-98E2-763D424D5771}">
  <dimension ref="A1:EN53"/>
  <sheetViews>
    <sheetView zoomScale="70" zoomScaleNormal="70" workbookViewId="0">
      <selection sqref="A1:XFD1048576"/>
    </sheetView>
  </sheetViews>
  <sheetFormatPr defaultColWidth="8.7109375" defaultRowHeight="24" customHeight="1" x14ac:dyDescent="0.25"/>
  <cols>
    <col min="1" max="16384" width="8.7109375" style="17"/>
  </cols>
  <sheetData>
    <row r="1" spans="1:144" customFormat="1" ht="24" customHeight="1" thickBot="1" x14ac:dyDescent="0.3"/>
    <row r="2" spans="1:144" ht="24" customHeight="1" thickBot="1" x14ac:dyDescent="0.3">
      <c r="B2" s="218" t="s">
        <v>10</v>
      </c>
      <c r="C2" s="107" t="s">
        <v>126</v>
      </c>
      <c r="D2" s="41"/>
      <c r="E2" s="41"/>
      <c r="F2" s="41"/>
      <c r="G2" s="41"/>
      <c r="H2" s="42"/>
      <c r="I2" s="40"/>
      <c r="J2" s="41"/>
      <c r="K2" s="41"/>
      <c r="L2" s="41"/>
      <c r="M2" s="41"/>
      <c r="N2" s="42"/>
      <c r="O2" s="40"/>
      <c r="P2" s="41"/>
      <c r="Q2" s="41"/>
      <c r="R2" s="41"/>
      <c r="S2" s="41"/>
      <c r="T2" s="42"/>
      <c r="U2" s="40"/>
      <c r="V2" s="41"/>
      <c r="W2" s="41"/>
      <c r="X2" s="41"/>
      <c r="Y2" s="41"/>
      <c r="Z2" s="42"/>
      <c r="AA2" s="40"/>
      <c r="AB2" s="41"/>
      <c r="AC2" s="41"/>
      <c r="AD2" s="41"/>
      <c r="AE2" s="41"/>
      <c r="AF2" s="42"/>
      <c r="AG2" s="40"/>
      <c r="AH2" s="41"/>
      <c r="AI2" s="41"/>
      <c r="AJ2" s="41"/>
      <c r="AK2" s="41"/>
      <c r="AL2" s="42"/>
      <c r="AM2" s="40"/>
      <c r="AN2" s="41"/>
      <c r="AO2" s="41"/>
      <c r="AP2" s="41"/>
      <c r="AQ2" s="41"/>
      <c r="AR2" s="42"/>
      <c r="AS2" s="40"/>
      <c r="AT2" s="41"/>
      <c r="AU2" s="41"/>
      <c r="AV2" s="41"/>
      <c r="AW2" s="41"/>
      <c r="AX2" s="42"/>
      <c r="AY2" s="40"/>
      <c r="AZ2" s="41"/>
      <c r="BA2" s="41"/>
      <c r="BB2" s="41"/>
      <c r="BC2" s="41"/>
      <c r="BD2" s="42"/>
      <c r="BE2" s="40"/>
      <c r="BF2" s="41"/>
      <c r="BG2" s="41"/>
      <c r="BH2" s="41"/>
      <c r="BI2" s="41"/>
      <c r="BJ2" s="42"/>
      <c r="BK2" s="40"/>
      <c r="BL2" s="41"/>
      <c r="BM2" s="41"/>
      <c r="BN2" s="41"/>
      <c r="BO2" s="41"/>
      <c r="BP2" s="42"/>
      <c r="BQ2" s="40"/>
      <c r="BR2" s="41"/>
      <c r="BS2" s="41"/>
      <c r="BT2" s="41"/>
      <c r="BU2" s="41"/>
      <c r="BV2" s="42"/>
      <c r="BW2" s="40"/>
      <c r="BX2" s="41"/>
      <c r="BY2" s="41"/>
      <c r="BZ2" s="41"/>
      <c r="CA2" s="41"/>
      <c r="CB2" s="42"/>
      <c r="CC2" s="40"/>
      <c r="CD2" s="41"/>
      <c r="CE2" s="41"/>
      <c r="CF2" s="41"/>
      <c r="CG2" s="41"/>
      <c r="CH2" s="42"/>
      <c r="CI2" s="40"/>
      <c r="CJ2" s="41"/>
      <c r="CK2" s="41"/>
      <c r="CL2" s="41"/>
      <c r="CM2" s="41"/>
      <c r="CN2" s="42"/>
      <c r="CO2" s="40"/>
      <c r="CP2" s="41"/>
      <c r="CQ2" s="41"/>
      <c r="CR2" s="41"/>
      <c r="CS2" s="41"/>
      <c r="CT2" s="42"/>
      <c r="CU2" s="40"/>
      <c r="CV2" s="41"/>
      <c r="CW2" s="41"/>
      <c r="CX2" s="41"/>
      <c r="CY2" s="41"/>
      <c r="CZ2" s="42"/>
      <c r="DA2" s="40"/>
      <c r="DB2" s="41"/>
      <c r="DC2" s="41"/>
      <c r="DD2" s="41"/>
      <c r="DE2" s="41"/>
      <c r="DF2" s="42"/>
      <c r="DG2" s="40"/>
      <c r="DH2" s="41"/>
      <c r="DI2" s="41"/>
      <c r="DJ2" s="41"/>
      <c r="DK2" s="41"/>
      <c r="DL2" s="42"/>
      <c r="DM2" s="40"/>
      <c r="DN2" s="41"/>
      <c r="DO2" s="41"/>
      <c r="DP2" s="41"/>
      <c r="DQ2" s="41"/>
      <c r="DR2" s="42"/>
      <c r="DS2" s="40"/>
      <c r="DT2" s="41"/>
      <c r="DU2" s="41"/>
      <c r="DV2" s="41"/>
      <c r="DW2" s="41"/>
      <c r="DX2" s="42"/>
      <c r="DY2" s="40"/>
      <c r="DZ2" s="41"/>
      <c r="EA2" s="41"/>
      <c r="EB2" s="41"/>
      <c r="EC2" s="41"/>
      <c r="ED2" s="42"/>
      <c r="EE2" s="106"/>
      <c r="EF2" s="132" t="s">
        <v>11</v>
      </c>
      <c r="EG2" s="41"/>
      <c r="EH2" s="41"/>
      <c r="EI2" s="42"/>
      <c r="EK2"/>
      <c r="EL2"/>
      <c r="EM2"/>
      <c r="EN2"/>
    </row>
    <row r="3" spans="1:144" ht="24" customHeight="1" thickBot="1" x14ac:dyDescent="0.3">
      <c r="B3" s="219"/>
      <c r="C3" s="60">
        <v>0</v>
      </c>
      <c r="D3" s="40" t="s">
        <v>6</v>
      </c>
      <c r="E3" s="41"/>
      <c r="F3" s="41"/>
      <c r="G3" s="41"/>
      <c r="H3" s="41"/>
      <c r="I3" s="42"/>
      <c r="J3" s="40"/>
      <c r="K3" s="41"/>
      <c r="L3" s="41"/>
      <c r="M3" s="41"/>
      <c r="N3" s="41"/>
      <c r="O3" s="42"/>
      <c r="P3" s="40"/>
      <c r="Q3" s="41"/>
      <c r="R3" s="41"/>
      <c r="S3" s="41"/>
      <c r="T3" s="41"/>
      <c r="U3" s="42"/>
      <c r="V3" s="40"/>
      <c r="W3" s="41"/>
      <c r="X3" s="41"/>
      <c r="Y3" s="41"/>
      <c r="Z3" s="41"/>
      <c r="AA3" s="42"/>
      <c r="AB3" s="40"/>
      <c r="AC3" s="41"/>
      <c r="AD3" s="41"/>
      <c r="AE3" s="41"/>
      <c r="AF3" s="41"/>
      <c r="AG3" s="42"/>
      <c r="AH3" s="40"/>
      <c r="AI3" s="41"/>
      <c r="AJ3" s="41"/>
      <c r="AK3" s="41"/>
      <c r="AL3" s="41"/>
      <c r="AM3" s="42"/>
      <c r="AN3" s="40"/>
      <c r="AO3" s="41"/>
      <c r="AP3" s="41"/>
      <c r="AQ3" s="41"/>
      <c r="AR3" s="41"/>
      <c r="AS3" s="42"/>
      <c r="AT3" s="40"/>
      <c r="AU3" s="41"/>
      <c r="AV3" s="41"/>
      <c r="AW3" s="41"/>
      <c r="AX3" s="41"/>
      <c r="AY3" s="42"/>
      <c r="AZ3" s="40"/>
      <c r="BA3" s="41"/>
      <c r="BB3" s="41"/>
      <c r="BC3" s="41"/>
      <c r="BD3" s="41"/>
      <c r="BE3" s="42"/>
      <c r="BF3" s="40"/>
      <c r="BG3" s="41"/>
      <c r="BH3" s="41"/>
      <c r="BI3" s="41"/>
      <c r="BJ3" s="41"/>
      <c r="BK3" s="42"/>
      <c r="BL3" s="40"/>
      <c r="BM3" s="41"/>
      <c r="BN3" s="41"/>
      <c r="BO3" s="41"/>
      <c r="BP3" s="41"/>
      <c r="BQ3" s="42"/>
      <c r="BR3" s="40"/>
      <c r="BS3" s="41"/>
      <c r="BT3" s="41"/>
      <c r="BU3" s="41"/>
      <c r="BV3" s="41"/>
      <c r="BW3" s="42"/>
      <c r="BX3" s="40"/>
      <c r="BY3" s="41"/>
      <c r="BZ3" s="41"/>
      <c r="CA3" s="41"/>
      <c r="CB3" s="41"/>
      <c r="CC3" s="42"/>
      <c r="CD3" s="40"/>
      <c r="CE3" s="41"/>
      <c r="CF3" s="41"/>
      <c r="CG3" s="41"/>
      <c r="CH3" s="41"/>
      <c r="CI3" s="42"/>
      <c r="CJ3" s="40"/>
      <c r="CK3" s="41"/>
      <c r="CL3" s="41"/>
      <c r="CM3" s="41"/>
      <c r="CN3" s="41"/>
      <c r="CO3" s="42"/>
      <c r="CP3" s="40"/>
      <c r="CQ3" s="41"/>
      <c r="CR3" s="41"/>
      <c r="CS3" s="41"/>
      <c r="CT3" s="41"/>
      <c r="CU3" s="42"/>
      <c r="CV3" s="40"/>
      <c r="CW3" s="41"/>
      <c r="CX3" s="41"/>
      <c r="CY3" s="41"/>
      <c r="CZ3" s="41"/>
      <c r="DA3" s="42"/>
      <c r="DB3" s="40"/>
      <c r="DC3" s="41"/>
      <c r="DD3" s="41"/>
      <c r="DE3" s="41"/>
      <c r="DF3" s="41"/>
      <c r="DG3" s="42"/>
      <c r="DH3" s="40"/>
      <c r="DI3" s="41"/>
      <c r="DJ3" s="41"/>
      <c r="DK3" s="41"/>
      <c r="DL3" s="41"/>
      <c r="DM3" s="42"/>
      <c r="DN3" s="40"/>
      <c r="DO3" s="41"/>
      <c r="DP3" s="41"/>
      <c r="DQ3" s="41"/>
      <c r="DR3" s="41"/>
      <c r="DS3" s="42"/>
      <c r="DT3" s="40"/>
      <c r="DU3" s="41"/>
      <c r="DV3" s="41"/>
      <c r="DW3" s="41"/>
      <c r="DX3" s="41"/>
      <c r="DY3" s="42"/>
      <c r="DZ3" s="40"/>
      <c r="EA3" s="41"/>
      <c r="EB3" s="41"/>
      <c r="EC3" s="41"/>
      <c r="ED3" s="41"/>
      <c r="EE3" s="42"/>
      <c r="EF3" s="133" t="s">
        <v>127</v>
      </c>
      <c r="EG3" s="43"/>
      <c r="EH3" s="43"/>
      <c r="EI3" s="44"/>
      <c r="EK3"/>
      <c r="EL3"/>
      <c r="EM3"/>
      <c r="EN3"/>
    </row>
    <row r="4" spans="1:144" ht="24" customHeight="1" thickBot="1" x14ac:dyDescent="0.3">
      <c r="B4" s="219"/>
      <c r="C4" s="61"/>
      <c r="D4" s="40" t="s">
        <v>244</v>
      </c>
      <c r="E4" s="41"/>
      <c r="F4" s="41"/>
      <c r="G4" s="41"/>
      <c r="H4" s="41"/>
      <c r="I4" s="42"/>
      <c r="J4" s="40" t="s">
        <v>245</v>
      </c>
      <c r="K4" s="41"/>
      <c r="L4" s="41"/>
      <c r="M4" s="41"/>
      <c r="N4" s="41"/>
      <c r="O4" s="42"/>
      <c r="P4" s="40" t="s">
        <v>246</v>
      </c>
      <c r="Q4" s="41"/>
      <c r="R4" s="41"/>
      <c r="S4" s="41"/>
      <c r="T4" s="41"/>
      <c r="U4" s="42"/>
      <c r="V4" s="40" t="s">
        <v>247</v>
      </c>
      <c r="W4" s="41"/>
      <c r="X4" s="41"/>
      <c r="Y4" s="41"/>
      <c r="Z4" s="41"/>
      <c r="AA4" s="41"/>
      <c r="AB4" s="40" t="s">
        <v>248</v>
      </c>
      <c r="AC4" s="41"/>
      <c r="AD4" s="41"/>
      <c r="AE4" s="41"/>
      <c r="AF4" s="41"/>
      <c r="AG4" s="42"/>
      <c r="AH4" s="41" t="s">
        <v>249</v>
      </c>
      <c r="AI4" s="41"/>
      <c r="AJ4" s="41"/>
      <c r="AK4" s="41"/>
      <c r="AL4" s="41"/>
      <c r="AM4" s="42"/>
      <c r="AN4" s="40" t="s">
        <v>250</v>
      </c>
      <c r="AO4" s="41"/>
      <c r="AP4" s="41"/>
      <c r="AQ4" s="41"/>
      <c r="AR4" s="41"/>
      <c r="AS4" s="42"/>
      <c r="AT4" s="40" t="s">
        <v>251</v>
      </c>
      <c r="AU4" s="41"/>
      <c r="AV4" s="41"/>
      <c r="AW4" s="41"/>
      <c r="AX4" s="41"/>
      <c r="AY4" s="42"/>
      <c r="AZ4" s="40" t="s">
        <v>252</v>
      </c>
      <c r="BA4" s="41"/>
      <c r="BB4" s="41"/>
      <c r="BC4" s="41"/>
      <c r="BD4" s="41"/>
      <c r="BE4" s="42"/>
      <c r="BF4" s="40" t="s">
        <v>253</v>
      </c>
      <c r="BG4" s="41"/>
      <c r="BH4" s="41"/>
      <c r="BI4" s="41"/>
      <c r="BJ4" s="41"/>
      <c r="BK4" s="42"/>
      <c r="BL4" s="40" t="s">
        <v>254</v>
      </c>
      <c r="BM4" s="41"/>
      <c r="BN4" s="41"/>
      <c r="BO4" s="41"/>
      <c r="BP4" s="41"/>
      <c r="BQ4" s="42"/>
      <c r="BR4" s="40" t="s">
        <v>255</v>
      </c>
      <c r="BS4" s="41"/>
      <c r="BT4" s="41"/>
      <c r="BU4" s="41"/>
      <c r="BV4" s="41"/>
      <c r="BW4" s="42"/>
      <c r="BX4" s="40" t="s">
        <v>256</v>
      </c>
      <c r="BY4" s="41"/>
      <c r="BZ4" s="41"/>
      <c r="CA4" s="41"/>
      <c r="CB4" s="41"/>
      <c r="CC4" s="42"/>
      <c r="CD4" s="40" t="s">
        <v>257</v>
      </c>
      <c r="CE4" s="41"/>
      <c r="CF4" s="41"/>
      <c r="CG4" s="41"/>
      <c r="CH4" s="41"/>
      <c r="CI4" s="42"/>
      <c r="CJ4" s="40" t="s">
        <v>258</v>
      </c>
      <c r="CK4" s="41"/>
      <c r="CL4" s="41"/>
      <c r="CM4" s="41"/>
      <c r="CN4" s="41"/>
      <c r="CO4" s="42"/>
      <c r="CP4" s="40" t="s">
        <v>259</v>
      </c>
      <c r="CQ4" s="41"/>
      <c r="CR4" s="41"/>
      <c r="CS4" s="41"/>
      <c r="CT4" s="41"/>
      <c r="CU4" s="42"/>
      <c r="CV4" s="40" t="s">
        <v>260</v>
      </c>
      <c r="CW4" s="41"/>
      <c r="CX4" s="41"/>
      <c r="CY4" s="41"/>
      <c r="CZ4" s="41"/>
      <c r="DA4" s="42"/>
      <c r="DB4" s="40" t="s">
        <v>261</v>
      </c>
      <c r="DC4" s="41"/>
      <c r="DD4" s="41"/>
      <c r="DE4" s="41"/>
      <c r="DF4" s="41"/>
      <c r="DG4" s="42"/>
      <c r="DH4" s="40" t="s">
        <v>262</v>
      </c>
      <c r="DI4" s="41"/>
      <c r="DJ4" s="41"/>
      <c r="DK4" s="41"/>
      <c r="DL4" s="41"/>
      <c r="DM4" s="42"/>
      <c r="DN4" s="40" t="s">
        <v>263</v>
      </c>
      <c r="DO4" s="41"/>
      <c r="DP4" s="41"/>
      <c r="DQ4" s="41"/>
      <c r="DR4" s="41"/>
      <c r="DS4" s="42"/>
      <c r="DT4" s="40" t="s">
        <v>264</v>
      </c>
      <c r="DU4" s="41"/>
      <c r="DV4" s="41"/>
      <c r="DW4" s="41"/>
      <c r="DX4" s="41"/>
      <c r="DY4" s="42"/>
      <c r="DZ4" s="40" t="s">
        <v>265</v>
      </c>
      <c r="EA4" s="41"/>
      <c r="EB4" s="41"/>
      <c r="EC4" s="41"/>
      <c r="ED4" s="41"/>
      <c r="EE4" s="42"/>
      <c r="EF4" s="132" t="str">
        <f>CONCATENATE(COUNT(EF6:EF62,EH6:EH62)," VIAGENS")</f>
        <v>0 VIAGENS</v>
      </c>
      <c r="EG4" s="41"/>
      <c r="EH4" s="41"/>
      <c r="EI4" s="42"/>
      <c r="EK4"/>
      <c r="EL4"/>
      <c r="EM4"/>
      <c r="EN4"/>
    </row>
    <row r="5" spans="1:144" ht="24" customHeight="1" thickBot="1" x14ac:dyDescent="0.3">
      <c r="B5" s="219"/>
      <c r="C5" s="204" t="s">
        <v>5</v>
      </c>
      <c r="D5" s="58" t="s">
        <v>0</v>
      </c>
      <c r="E5" s="58" t="s">
        <v>1</v>
      </c>
      <c r="F5" s="58" t="s">
        <v>2</v>
      </c>
      <c r="G5" s="58" t="s">
        <v>3</v>
      </c>
      <c r="H5" s="58" t="s">
        <v>4</v>
      </c>
      <c r="I5" s="58" t="s">
        <v>12</v>
      </c>
      <c r="J5" s="58" t="s">
        <v>0</v>
      </c>
      <c r="K5" s="58" t="s">
        <v>1</v>
      </c>
      <c r="L5" s="58" t="s">
        <v>2</v>
      </c>
      <c r="M5" s="58" t="s">
        <v>3</v>
      </c>
      <c r="N5" s="58" t="s">
        <v>4</v>
      </c>
      <c r="O5" s="58" t="s">
        <v>12</v>
      </c>
      <c r="P5" s="58" t="s">
        <v>0</v>
      </c>
      <c r="Q5" s="58" t="s">
        <v>1</v>
      </c>
      <c r="R5" s="35" t="s">
        <v>2</v>
      </c>
      <c r="S5" s="58" t="s">
        <v>3</v>
      </c>
      <c r="T5" s="35" t="s">
        <v>4</v>
      </c>
      <c r="U5" s="58" t="s">
        <v>12</v>
      </c>
      <c r="V5" s="34" t="s">
        <v>0</v>
      </c>
      <c r="W5" s="58" t="s">
        <v>1</v>
      </c>
      <c r="X5" s="35" t="s">
        <v>2</v>
      </c>
      <c r="Y5" s="58" t="s">
        <v>3</v>
      </c>
      <c r="Z5" s="35" t="s">
        <v>4</v>
      </c>
      <c r="AA5" s="34" t="s">
        <v>12</v>
      </c>
      <c r="AB5" s="34" t="s">
        <v>0</v>
      </c>
      <c r="AC5" s="58" t="s">
        <v>1</v>
      </c>
      <c r="AD5" s="35" t="s">
        <v>2</v>
      </c>
      <c r="AE5" s="58" t="s">
        <v>3</v>
      </c>
      <c r="AF5" s="35" t="s">
        <v>4</v>
      </c>
      <c r="AG5" s="58" t="s">
        <v>12</v>
      </c>
      <c r="AH5" s="35" t="s">
        <v>0</v>
      </c>
      <c r="AI5" s="58" t="s">
        <v>1</v>
      </c>
      <c r="AJ5" s="35" t="s">
        <v>2</v>
      </c>
      <c r="AK5" s="58" t="s">
        <v>3</v>
      </c>
      <c r="AL5" s="35" t="s">
        <v>4</v>
      </c>
      <c r="AM5" s="58" t="s">
        <v>12</v>
      </c>
      <c r="AN5" s="34" t="s">
        <v>0</v>
      </c>
      <c r="AO5" s="58" t="s">
        <v>1</v>
      </c>
      <c r="AP5" s="35" t="s">
        <v>2</v>
      </c>
      <c r="AQ5" s="58" t="s">
        <v>3</v>
      </c>
      <c r="AR5" s="35" t="s">
        <v>4</v>
      </c>
      <c r="AS5" s="58" t="s">
        <v>12</v>
      </c>
      <c r="AT5" s="34" t="s">
        <v>0</v>
      </c>
      <c r="AU5" s="58" t="s">
        <v>1</v>
      </c>
      <c r="AV5" s="35" t="s">
        <v>2</v>
      </c>
      <c r="AW5" s="58" t="s">
        <v>3</v>
      </c>
      <c r="AX5" s="35" t="s">
        <v>4</v>
      </c>
      <c r="AY5" s="58" t="s">
        <v>12</v>
      </c>
      <c r="AZ5" s="34" t="s">
        <v>0</v>
      </c>
      <c r="BA5" s="58" t="s">
        <v>1</v>
      </c>
      <c r="BB5" s="35" t="s">
        <v>2</v>
      </c>
      <c r="BC5" s="58" t="s">
        <v>3</v>
      </c>
      <c r="BD5" s="35" t="s">
        <v>4</v>
      </c>
      <c r="BE5" s="58" t="s">
        <v>12</v>
      </c>
      <c r="BF5" s="34" t="s">
        <v>0</v>
      </c>
      <c r="BG5" s="58" t="s">
        <v>1</v>
      </c>
      <c r="BH5" s="35" t="s">
        <v>2</v>
      </c>
      <c r="BI5" s="58" t="s">
        <v>3</v>
      </c>
      <c r="BJ5" s="35" t="s">
        <v>4</v>
      </c>
      <c r="BK5" s="58" t="s">
        <v>12</v>
      </c>
      <c r="BL5" s="34" t="s">
        <v>0</v>
      </c>
      <c r="BM5" s="58" t="s">
        <v>1</v>
      </c>
      <c r="BN5" s="35" t="s">
        <v>2</v>
      </c>
      <c r="BO5" s="58" t="s">
        <v>3</v>
      </c>
      <c r="BP5" s="35" t="s">
        <v>4</v>
      </c>
      <c r="BQ5" s="58" t="s">
        <v>12</v>
      </c>
      <c r="BR5" s="34" t="s">
        <v>0</v>
      </c>
      <c r="BS5" s="58" t="s">
        <v>1</v>
      </c>
      <c r="BT5" s="35" t="s">
        <v>2</v>
      </c>
      <c r="BU5" s="58" t="s">
        <v>3</v>
      </c>
      <c r="BV5" s="35" t="s">
        <v>4</v>
      </c>
      <c r="BW5" s="58" t="s">
        <v>12</v>
      </c>
      <c r="BX5" s="34" t="s">
        <v>0</v>
      </c>
      <c r="BY5" s="58" t="s">
        <v>1</v>
      </c>
      <c r="BZ5" s="35" t="s">
        <v>2</v>
      </c>
      <c r="CA5" s="58" t="s">
        <v>3</v>
      </c>
      <c r="CB5" s="35" t="s">
        <v>4</v>
      </c>
      <c r="CC5" s="58" t="s">
        <v>12</v>
      </c>
      <c r="CD5" s="34" t="s">
        <v>0</v>
      </c>
      <c r="CE5" s="58" t="s">
        <v>1</v>
      </c>
      <c r="CF5" s="35" t="s">
        <v>2</v>
      </c>
      <c r="CG5" s="58" t="s">
        <v>3</v>
      </c>
      <c r="CH5" s="35" t="s">
        <v>4</v>
      </c>
      <c r="CI5" s="58" t="s">
        <v>12</v>
      </c>
      <c r="CJ5" s="34" t="s">
        <v>0</v>
      </c>
      <c r="CK5" s="58" t="s">
        <v>1</v>
      </c>
      <c r="CL5" s="35" t="s">
        <v>2</v>
      </c>
      <c r="CM5" s="58" t="s">
        <v>3</v>
      </c>
      <c r="CN5" s="35" t="s">
        <v>4</v>
      </c>
      <c r="CO5" s="58" t="s">
        <v>12</v>
      </c>
      <c r="CP5" s="34" t="s">
        <v>0</v>
      </c>
      <c r="CQ5" s="58" t="s">
        <v>1</v>
      </c>
      <c r="CR5" s="35" t="s">
        <v>2</v>
      </c>
      <c r="CS5" s="58" t="s">
        <v>3</v>
      </c>
      <c r="CT5" s="35" t="s">
        <v>4</v>
      </c>
      <c r="CU5" s="58" t="s">
        <v>12</v>
      </c>
      <c r="CV5" s="34" t="s">
        <v>0</v>
      </c>
      <c r="CW5" s="58" t="s">
        <v>1</v>
      </c>
      <c r="CX5" s="35" t="s">
        <v>2</v>
      </c>
      <c r="CY5" s="58" t="s">
        <v>3</v>
      </c>
      <c r="CZ5" s="35" t="s">
        <v>4</v>
      </c>
      <c r="DA5" s="58" t="s">
        <v>12</v>
      </c>
      <c r="DB5" s="34" t="s">
        <v>0</v>
      </c>
      <c r="DC5" s="58" t="s">
        <v>1</v>
      </c>
      <c r="DD5" s="35" t="s">
        <v>2</v>
      </c>
      <c r="DE5" s="58" t="s">
        <v>3</v>
      </c>
      <c r="DF5" s="35" t="s">
        <v>4</v>
      </c>
      <c r="DG5" s="58" t="s">
        <v>12</v>
      </c>
      <c r="DH5" s="34" t="s">
        <v>0</v>
      </c>
      <c r="DI5" s="58" t="s">
        <v>1</v>
      </c>
      <c r="DJ5" s="35" t="s">
        <v>2</v>
      </c>
      <c r="DK5" s="58" t="s">
        <v>3</v>
      </c>
      <c r="DL5" s="35" t="s">
        <v>4</v>
      </c>
      <c r="DM5" s="58" t="s">
        <v>12</v>
      </c>
      <c r="DN5" s="34" t="s">
        <v>0</v>
      </c>
      <c r="DO5" s="58" t="s">
        <v>1</v>
      </c>
      <c r="DP5" s="35" t="s">
        <v>2</v>
      </c>
      <c r="DQ5" s="58" t="s">
        <v>3</v>
      </c>
      <c r="DR5" s="35" t="s">
        <v>4</v>
      </c>
      <c r="DS5" s="58" t="s">
        <v>12</v>
      </c>
      <c r="DT5" s="34" t="s">
        <v>0</v>
      </c>
      <c r="DU5" s="58" t="s">
        <v>1</v>
      </c>
      <c r="DV5" s="35" t="s">
        <v>2</v>
      </c>
      <c r="DW5" s="58" t="s">
        <v>3</v>
      </c>
      <c r="DX5" s="35" t="s">
        <v>4</v>
      </c>
      <c r="DY5" s="58" t="s">
        <v>12</v>
      </c>
      <c r="DZ5" s="34" t="s">
        <v>0</v>
      </c>
      <c r="EA5" s="58" t="s">
        <v>1</v>
      </c>
      <c r="EB5" s="35" t="s">
        <v>2</v>
      </c>
      <c r="EC5" s="58" t="s">
        <v>3</v>
      </c>
      <c r="ED5" s="35" t="s">
        <v>4</v>
      </c>
      <c r="EE5" s="58" t="s">
        <v>12</v>
      </c>
      <c r="EF5" s="1" t="s">
        <v>8</v>
      </c>
      <c r="EG5" s="2" t="s">
        <v>9</v>
      </c>
      <c r="EH5" s="1" t="s">
        <v>8</v>
      </c>
      <c r="EI5" s="2" t="s">
        <v>9</v>
      </c>
      <c r="EK5"/>
      <c r="EL5"/>
      <c r="EM5"/>
      <c r="EN5"/>
    </row>
    <row r="6" spans="1:144" ht="24" customHeight="1" x14ac:dyDescent="0.25">
      <c r="B6" s="219"/>
      <c r="C6" s="205"/>
      <c r="D6" s="134"/>
      <c r="E6" s="135"/>
      <c r="F6" s="135"/>
      <c r="G6" s="136"/>
      <c r="H6" s="137"/>
      <c r="I6" s="138"/>
      <c r="J6" s="57"/>
      <c r="K6" s="12"/>
      <c r="L6" s="12"/>
      <c r="M6" s="7"/>
      <c r="N6" s="6"/>
      <c r="O6" s="8"/>
      <c r="P6" s="57"/>
      <c r="Q6" s="12"/>
      <c r="R6" s="12"/>
      <c r="S6" s="7"/>
      <c r="T6" s="6"/>
      <c r="U6" s="8"/>
      <c r="V6" s="57"/>
      <c r="W6" s="12"/>
      <c r="X6" s="12"/>
      <c r="Y6" s="7"/>
      <c r="Z6" s="6"/>
      <c r="AA6" s="141"/>
      <c r="AB6" s="11"/>
      <c r="AC6" s="12"/>
      <c r="AD6" s="12"/>
      <c r="AE6" s="7"/>
      <c r="AF6" s="6"/>
      <c r="AG6" s="8"/>
      <c r="AH6" s="57"/>
      <c r="AI6" s="12"/>
      <c r="AJ6" s="12"/>
      <c r="AK6" s="7"/>
      <c r="AL6" s="6"/>
      <c r="AM6" s="8"/>
      <c r="AN6" s="11"/>
      <c r="AO6" s="12"/>
      <c r="AP6" s="12"/>
      <c r="AQ6" s="7"/>
      <c r="AR6" s="6"/>
      <c r="AS6" s="8"/>
      <c r="AT6" s="11"/>
      <c r="AU6" s="12"/>
      <c r="AV6" s="12"/>
      <c r="AW6" s="7"/>
      <c r="AX6" s="6"/>
      <c r="AY6" s="8"/>
      <c r="AZ6" s="11"/>
      <c r="BA6" s="12"/>
      <c r="BB6" s="12"/>
      <c r="BC6" s="7"/>
      <c r="BD6" s="6"/>
      <c r="BE6" s="8"/>
      <c r="BF6" s="11"/>
      <c r="BG6" s="12"/>
      <c r="BH6" s="12"/>
      <c r="BI6" s="7"/>
      <c r="BJ6" s="6"/>
      <c r="BK6" s="8"/>
      <c r="BL6" s="11"/>
      <c r="BM6" s="12"/>
      <c r="BN6" s="12"/>
      <c r="BO6" s="7"/>
      <c r="BP6" s="6"/>
      <c r="BQ6" s="8"/>
      <c r="BR6" s="11"/>
      <c r="BS6" s="12"/>
      <c r="BT6" s="12"/>
      <c r="BU6" s="7"/>
      <c r="BV6" s="6"/>
      <c r="BW6" s="8"/>
      <c r="BX6" s="11"/>
      <c r="BY6" s="12"/>
      <c r="BZ6" s="12"/>
      <c r="CA6" s="7"/>
      <c r="CB6" s="6"/>
      <c r="CC6" s="8"/>
      <c r="CD6" s="11"/>
      <c r="CE6" s="12"/>
      <c r="CF6" s="12"/>
      <c r="CG6" s="7"/>
      <c r="CH6" s="6"/>
      <c r="CI6" s="8"/>
      <c r="CJ6" s="11"/>
      <c r="CK6" s="12"/>
      <c r="CL6" s="12"/>
      <c r="CM6" s="7"/>
      <c r="CN6" s="6"/>
      <c r="CO6" s="8"/>
      <c r="CP6" s="11"/>
      <c r="CQ6" s="12"/>
      <c r="CR6" s="12"/>
      <c r="CS6" s="7"/>
      <c r="CT6" s="6"/>
      <c r="CU6" s="8"/>
      <c r="CV6" s="11"/>
      <c r="CW6" s="12"/>
      <c r="CX6" s="12"/>
      <c r="CY6" s="7"/>
      <c r="CZ6" s="6"/>
      <c r="DA6" s="8"/>
      <c r="DB6" s="11"/>
      <c r="DC6" s="12"/>
      <c r="DD6" s="12"/>
      <c r="DE6" s="7"/>
      <c r="DF6" s="6"/>
      <c r="DG6" s="8"/>
      <c r="DH6" s="11"/>
      <c r="DI6" s="12"/>
      <c r="DJ6" s="12"/>
      <c r="DK6" s="7"/>
      <c r="DL6" s="6"/>
      <c r="DM6" s="8"/>
      <c r="DN6" s="11"/>
      <c r="DO6" s="12"/>
      <c r="DP6" s="12"/>
      <c r="DQ6" s="7"/>
      <c r="DR6" s="6"/>
      <c r="DS6" s="8"/>
      <c r="DT6" s="11"/>
      <c r="DU6" s="12"/>
      <c r="DV6" s="12"/>
      <c r="DW6" s="7"/>
      <c r="DX6" s="6"/>
      <c r="DY6" s="8"/>
      <c r="DZ6" s="11"/>
      <c r="EA6" s="12"/>
      <c r="EB6" s="12"/>
      <c r="EC6" s="7"/>
      <c r="ED6" s="6"/>
      <c r="EE6" s="8"/>
      <c r="EF6" s="9"/>
      <c r="EG6" s="13"/>
      <c r="EH6" s="10"/>
      <c r="EI6" s="14"/>
      <c r="EK6"/>
      <c r="EL6"/>
      <c r="EM6"/>
      <c r="EN6"/>
    </row>
    <row r="7" spans="1:144" ht="24" customHeight="1" x14ac:dyDescent="0.25">
      <c r="B7" s="219"/>
      <c r="C7" s="205"/>
      <c r="D7" s="88"/>
      <c r="E7" s="89"/>
      <c r="F7" s="89"/>
      <c r="G7" s="90"/>
      <c r="H7" s="91"/>
      <c r="I7" s="92"/>
      <c r="J7" s="57"/>
      <c r="K7" s="12"/>
      <c r="L7" s="12"/>
      <c r="M7" s="7"/>
      <c r="N7" s="6"/>
      <c r="O7" s="8"/>
      <c r="P7" s="57"/>
      <c r="Q7" s="12"/>
      <c r="R7" s="12"/>
      <c r="S7" s="7"/>
      <c r="T7" s="6"/>
      <c r="U7" s="8"/>
      <c r="V7" s="57"/>
      <c r="W7" s="12"/>
      <c r="X7" s="12"/>
      <c r="Y7" s="7"/>
      <c r="Z7" s="6"/>
      <c r="AA7" s="141"/>
      <c r="AB7" s="11"/>
      <c r="AC7" s="12"/>
      <c r="AD7" s="12"/>
      <c r="AE7" s="7"/>
      <c r="AF7" s="6"/>
      <c r="AG7" s="8"/>
      <c r="AH7" s="57"/>
      <c r="AI7" s="12"/>
      <c r="AJ7" s="12"/>
      <c r="AK7" s="7"/>
      <c r="AL7" s="6"/>
      <c r="AM7" s="8"/>
      <c r="AN7" s="11"/>
      <c r="AO7" s="12"/>
      <c r="AP7" s="12"/>
      <c r="AQ7" s="7"/>
      <c r="AR7" s="6"/>
      <c r="AS7" s="8"/>
      <c r="AT7" s="11"/>
      <c r="AU7" s="12"/>
      <c r="AV7" s="12"/>
      <c r="AW7" s="7"/>
      <c r="AX7" s="6"/>
      <c r="AY7" s="8"/>
      <c r="AZ7" s="11"/>
      <c r="BA7" s="12"/>
      <c r="BB7" s="12"/>
      <c r="BC7" s="7"/>
      <c r="BD7" s="6"/>
      <c r="BE7" s="8"/>
      <c r="BF7" s="11"/>
      <c r="BG7" s="12"/>
      <c r="BH7" s="12"/>
      <c r="BI7" s="7"/>
      <c r="BJ7" s="6"/>
      <c r="BK7" s="8"/>
      <c r="BL7" s="11"/>
      <c r="BM7" s="12"/>
      <c r="BN7" s="12"/>
      <c r="BO7" s="7"/>
      <c r="BP7" s="6"/>
      <c r="BQ7" s="8"/>
      <c r="BR7" s="11"/>
      <c r="BS7" s="12"/>
      <c r="BT7" s="12"/>
      <c r="BU7" s="7"/>
      <c r="BV7" s="6"/>
      <c r="BW7" s="8"/>
      <c r="BX7" s="11"/>
      <c r="BY7" s="12"/>
      <c r="BZ7" s="12"/>
      <c r="CA7" s="7"/>
      <c r="CB7" s="6"/>
      <c r="CC7" s="8"/>
      <c r="CD7" s="11"/>
      <c r="CE7" s="12"/>
      <c r="CF7" s="12"/>
      <c r="CG7" s="7"/>
      <c r="CH7" s="6"/>
      <c r="CI7" s="8"/>
      <c r="CJ7" s="11"/>
      <c r="CK7" s="12"/>
      <c r="CL7" s="12"/>
      <c r="CM7" s="7"/>
      <c r="CN7" s="6"/>
      <c r="CO7" s="8"/>
      <c r="CP7" s="11"/>
      <c r="CQ7" s="12"/>
      <c r="CR7" s="12"/>
      <c r="CS7" s="7"/>
      <c r="CT7" s="6"/>
      <c r="CU7" s="8"/>
      <c r="CV7" s="11"/>
      <c r="CW7" s="12"/>
      <c r="CX7" s="12"/>
      <c r="CY7" s="7"/>
      <c r="CZ7" s="6"/>
      <c r="DA7" s="8"/>
      <c r="DB7" s="11"/>
      <c r="DC7" s="12"/>
      <c r="DD7" s="12"/>
      <c r="DE7" s="7"/>
      <c r="DF7" s="6"/>
      <c r="DG7" s="8"/>
      <c r="DH7" s="11"/>
      <c r="DI7" s="12"/>
      <c r="DJ7" s="12"/>
      <c r="DK7" s="7"/>
      <c r="DL7" s="6"/>
      <c r="DM7" s="8"/>
      <c r="DN7" s="11"/>
      <c r="DO7" s="12"/>
      <c r="DP7" s="12"/>
      <c r="DQ7" s="7"/>
      <c r="DR7" s="6"/>
      <c r="DS7" s="8"/>
      <c r="DT7" s="11"/>
      <c r="DU7" s="12"/>
      <c r="DV7" s="12"/>
      <c r="DW7" s="7"/>
      <c r="DX7" s="6"/>
      <c r="DY7" s="8"/>
      <c r="DZ7" s="11"/>
      <c r="EA7" s="12"/>
      <c r="EB7" s="12"/>
      <c r="EC7" s="7"/>
      <c r="ED7" s="6"/>
      <c r="EE7" s="8"/>
      <c r="EF7" s="11"/>
      <c r="EG7" s="15">
        <f>EF7-EF6</f>
        <v>0</v>
      </c>
      <c r="EH7" s="12"/>
      <c r="EI7" s="16"/>
      <c r="EK7"/>
      <c r="EL7"/>
      <c r="EM7"/>
      <c r="EN7"/>
    </row>
    <row r="8" spans="1:144" ht="24" customHeight="1" x14ac:dyDescent="0.25">
      <c r="B8" s="219"/>
      <c r="C8" s="205"/>
      <c r="D8" s="88"/>
      <c r="E8" s="89"/>
      <c r="F8" s="89"/>
      <c r="G8" s="90"/>
      <c r="H8" s="91"/>
      <c r="I8" s="92"/>
      <c r="J8" s="57"/>
      <c r="K8" s="12"/>
      <c r="L8" s="12"/>
      <c r="M8" s="7"/>
      <c r="N8" s="6"/>
      <c r="O8" s="8"/>
      <c r="P8" s="57"/>
      <c r="Q8" s="12"/>
      <c r="R8" s="12"/>
      <c r="S8" s="7"/>
      <c r="T8" s="6"/>
      <c r="U8" s="8"/>
      <c r="V8" s="57"/>
      <c r="W8" s="12"/>
      <c r="X8" s="12"/>
      <c r="Y8" s="7"/>
      <c r="Z8" s="6"/>
      <c r="AA8" s="141"/>
      <c r="AB8" s="11"/>
      <c r="AC8" s="12"/>
      <c r="AD8" s="12"/>
      <c r="AE8" s="7"/>
      <c r="AF8" s="6"/>
      <c r="AG8" s="8"/>
      <c r="AH8" s="57"/>
      <c r="AI8" s="12"/>
      <c r="AJ8" s="12"/>
      <c r="AK8" s="7"/>
      <c r="AL8" s="6"/>
      <c r="AM8" s="8"/>
      <c r="AN8" s="11"/>
      <c r="AO8" s="12"/>
      <c r="AP8" s="12"/>
      <c r="AQ8" s="7"/>
      <c r="AR8" s="6"/>
      <c r="AS8" s="8"/>
      <c r="AT8" s="11"/>
      <c r="AU8" s="12"/>
      <c r="AV8" s="12"/>
      <c r="AW8" s="7"/>
      <c r="AX8" s="6"/>
      <c r="AY8" s="8"/>
      <c r="AZ8" s="11"/>
      <c r="BA8" s="12"/>
      <c r="BB8" s="12"/>
      <c r="BC8" s="7"/>
      <c r="BD8" s="6"/>
      <c r="BE8" s="8"/>
      <c r="BF8" s="11"/>
      <c r="BG8" s="12"/>
      <c r="BH8" s="12"/>
      <c r="BI8" s="7"/>
      <c r="BJ8" s="6"/>
      <c r="BK8" s="8"/>
      <c r="BL8" s="11"/>
      <c r="BM8" s="12"/>
      <c r="BN8" s="12"/>
      <c r="BO8" s="7"/>
      <c r="BP8" s="6"/>
      <c r="BQ8" s="8"/>
      <c r="BR8" s="11"/>
      <c r="BS8" s="12"/>
      <c r="BT8" s="12"/>
      <c r="BU8" s="7"/>
      <c r="BV8" s="6"/>
      <c r="BW8" s="8"/>
      <c r="BX8" s="11"/>
      <c r="BY8" s="12"/>
      <c r="BZ8" s="12"/>
      <c r="CA8" s="7"/>
      <c r="CB8" s="6"/>
      <c r="CC8" s="8"/>
      <c r="CD8" s="11"/>
      <c r="CE8" s="12"/>
      <c r="CF8" s="12"/>
      <c r="CG8" s="7"/>
      <c r="CH8" s="6"/>
      <c r="CI8" s="8"/>
      <c r="CJ8" s="11"/>
      <c r="CK8" s="12"/>
      <c r="CL8" s="12"/>
      <c r="CM8" s="7"/>
      <c r="CN8" s="6"/>
      <c r="CO8" s="8"/>
      <c r="CP8" s="11"/>
      <c r="CQ8" s="12"/>
      <c r="CR8" s="12"/>
      <c r="CS8" s="7"/>
      <c r="CT8" s="6"/>
      <c r="CU8" s="8"/>
      <c r="CV8" s="11"/>
      <c r="CW8" s="12"/>
      <c r="CX8" s="12"/>
      <c r="CY8" s="7"/>
      <c r="CZ8" s="6"/>
      <c r="DA8" s="8"/>
      <c r="DB8" s="11"/>
      <c r="DC8" s="12"/>
      <c r="DD8" s="12"/>
      <c r="DE8" s="7"/>
      <c r="DF8" s="6"/>
      <c r="DG8" s="8"/>
      <c r="DH8" s="11"/>
      <c r="DI8" s="12"/>
      <c r="DJ8" s="12"/>
      <c r="DK8" s="7"/>
      <c r="DL8" s="6"/>
      <c r="DM8" s="8"/>
      <c r="DN8" s="11"/>
      <c r="DO8" s="12"/>
      <c r="DP8" s="12"/>
      <c r="DQ8" s="7"/>
      <c r="DR8" s="6"/>
      <c r="DS8" s="8"/>
      <c r="DT8" s="11"/>
      <c r="DU8" s="12"/>
      <c r="DV8" s="12"/>
      <c r="DW8" s="7"/>
      <c r="DX8" s="6"/>
      <c r="DY8" s="8"/>
      <c r="DZ8" s="11"/>
      <c r="EA8" s="12"/>
      <c r="EB8" s="12"/>
      <c r="EC8" s="7"/>
      <c r="ED8" s="6"/>
      <c r="EE8" s="8"/>
      <c r="EF8" s="11"/>
      <c r="EG8" s="15"/>
      <c r="EH8" s="12"/>
      <c r="EI8" s="16"/>
    </row>
    <row r="9" spans="1:144" ht="24" customHeight="1" x14ac:dyDescent="0.25">
      <c r="B9" s="219"/>
      <c r="C9" s="205"/>
      <c r="D9" s="88"/>
      <c r="E9" s="89"/>
      <c r="F9" s="89"/>
      <c r="G9" s="90"/>
      <c r="H9" s="91"/>
      <c r="I9" s="92"/>
      <c r="J9" s="57"/>
      <c r="K9" s="12"/>
      <c r="L9" s="12"/>
      <c r="M9" s="7"/>
      <c r="N9" s="6"/>
      <c r="O9" s="8"/>
      <c r="P9" s="57"/>
      <c r="Q9" s="12"/>
      <c r="R9" s="12"/>
      <c r="S9" s="7"/>
      <c r="T9" s="6"/>
      <c r="U9" s="8"/>
      <c r="V9" s="57"/>
      <c r="W9" s="12"/>
      <c r="X9" s="12"/>
      <c r="Y9" s="7"/>
      <c r="Z9" s="6"/>
      <c r="AA9" s="141"/>
      <c r="AB9" s="11"/>
      <c r="AC9" s="12"/>
      <c r="AD9" s="12"/>
      <c r="AE9" s="7"/>
      <c r="AF9" s="6"/>
      <c r="AG9" s="8"/>
      <c r="AH9" s="57"/>
      <c r="AI9" s="12"/>
      <c r="AJ9" s="12"/>
      <c r="AK9" s="7"/>
      <c r="AL9" s="6"/>
      <c r="AM9" s="8"/>
      <c r="AN9" s="11"/>
      <c r="AO9" s="12"/>
      <c r="AP9" s="12"/>
      <c r="AQ9" s="7"/>
      <c r="AR9" s="6"/>
      <c r="AS9" s="8"/>
      <c r="AT9" s="11"/>
      <c r="AU9" s="12"/>
      <c r="AV9" s="12"/>
      <c r="AW9" s="7"/>
      <c r="AX9" s="6"/>
      <c r="AY9" s="8"/>
      <c r="AZ9" s="11"/>
      <c r="BA9" s="12"/>
      <c r="BB9" s="12"/>
      <c r="BC9" s="7"/>
      <c r="BD9" s="6"/>
      <c r="BE9" s="8"/>
      <c r="BF9" s="11"/>
      <c r="BG9" s="12"/>
      <c r="BH9" s="12"/>
      <c r="BI9" s="7"/>
      <c r="BJ9" s="6"/>
      <c r="BK9" s="8"/>
      <c r="BL9" s="11"/>
      <c r="BM9" s="12"/>
      <c r="BN9" s="12"/>
      <c r="BO9" s="7"/>
      <c r="BP9" s="6"/>
      <c r="BQ9" s="8"/>
      <c r="BR9" s="11"/>
      <c r="BS9" s="12"/>
      <c r="BT9" s="12"/>
      <c r="BU9" s="7"/>
      <c r="BV9" s="6"/>
      <c r="BW9" s="8"/>
      <c r="BX9" s="11"/>
      <c r="BY9" s="12"/>
      <c r="BZ9" s="12"/>
      <c r="CA9" s="7"/>
      <c r="CB9" s="6"/>
      <c r="CC9" s="8"/>
      <c r="CD9" s="11"/>
      <c r="CE9" s="12"/>
      <c r="CF9" s="12"/>
      <c r="CG9" s="7"/>
      <c r="CH9" s="6"/>
      <c r="CI9" s="8"/>
      <c r="CJ9" s="11"/>
      <c r="CK9" s="12"/>
      <c r="CL9" s="12"/>
      <c r="CM9" s="7"/>
      <c r="CN9" s="6"/>
      <c r="CO9" s="8"/>
      <c r="CP9" s="11"/>
      <c r="CQ9" s="12"/>
      <c r="CR9" s="12"/>
      <c r="CS9" s="7"/>
      <c r="CT9" s="6"/>
      <c r="CU9" s="8"/>
      <c r="CV9" s="11"/>
      <c r="CW9" s="12"/>
      <c r="CX9" s="12"/>
      <c r="CY9" s="7"/>
      <c r="CZ9" s="6"/>
      <c r="DA9" s="8"/>
      <c r="DB9" s="11"/>
      <c r="DC9" s="12"/>
      <c r="DD9" s="12"/>
      <c r="DE9" s="7"/>
      <c r="DF9" s="6"/>
      <c r="DG9" s="8"/>
      <c r="DH9" s="11"/>
      <c r="DI9" s="12"/>
      <c r="DJ9" s="12"/>
      <c r="DK9" s="7"/>
      <c r="DL9" s="6"/>
      <c r="DM9" s="8"/>
      <c r="DN9" s="11"/>
      <c r="DO9" s="12"/>
      <c r="DP9" s="12"/>
      <c r="DQ9" s="7"/>
      <c r="DR9" s="6"/>
      <c r="DS9" s="8"/>
      <c r="DT9" s="11"/>
      <c r="DU9" s="12"/>
      <c r="DV9" s="12"/>
      <c r="DW9" s="7"/>
      <c r="DX9" s="6"/>
      <c r="DY9" s="8"/>
      <c r="DZ9" s="11"/>
      <c r="EA9" s="12"/>
      <c r="EB9" s="12"/>
      <c r="EC9" s="7"/>
      <c r="ED9" s="6"/>
      <c r="EE9" s="8"/>
      <c r="EF9" s="11"/>
      <c r="EG9" s="15"/>
      <c r="EH9" s="12"/>
      <c r="EI9" s="16"/>
    </row>
    <row r="10" spans="1:144" ht="24" customHeight="1" x14ac:dyDescent="0.25">
      <c r="B10" s="219"/>
      <c r="C10" s="205"/>
      <c r="D10" s="88"/>
      <c r="E10" s="89"/>
      <c r="F10" s="89"/>
      <c r="G10" s="90"/>
      <c r="H10" s="91"/>
      <c r="I10" s="92"/>
      <c r="J10" s="57"/>
      <c r="K10" s="12"/>
      <c r="L10" s="12"/>
      <c r="M10" s="7"/>
      <c r="N10" s="6"/>
      <c r="O10" s="8"/>
      <c r="P10" s="57"/>
      <c r="Q10" s="12"/>
      <c r="R10" s="12"/>
      <c r="S10" s="7"/>
      <c r="T10" s="6"/>
      <c r="U10" s="8"/>
      <c r="V10" s="57"/>
      <c r="W10" s="12"/>
      <c r="X10" s="12"/>
      <c r="Y10" s="7"/>
      <c r="Z10" s="6"/>
      <c r="AA10" s="141"/>
      <c r="AB10" s="11"/>
      <c r="AC10" s="12"/>
      <c r="AD10" s="12"/>
      <c r="AE10" s="7"/>
      <c r="AF10" s="6"/>
      <c r="AG10" s="8"/>
      <c r="AH10" s="57"/>
      <c r="AI10" s="12"/>
      <c r="AJ10" s="12"/>
      <c r="AK10" s="7"/>
      <c r="AL10" s="6"/>
      <c r="AM10" s="8"/>
      <c r="AN10" s="11"/>
      <c r="AO10" s="12"/>
      <c r="AP10" s="12"/>
      <c r="AQ10" s="7"/>
      <c r="AR10" s="6"/>
      <c r="AS10" s="8"/>
      <c r="AT10" s="11"/>
      <c r="AU10" s="12"/>
      <c r="AV10" s="12"/>
      <c r="AW10" s="7"/>
      <c r="AX10" s="6"/>
      <c r="AY10" s="8"/>
      <c r="AZ10" s="11"/>
      <c r="BA10" s="12"/>
      <c r="BB10" s="12"/>
      <c r="BC10" s="7"/>
      <c r="BD10" s="6"/>
      <c r="BE10" s="8"/>
      <c r="BF10" s="11"/>
      <c r="BG10" s="12"/>
      <c r="BH10" s="12"/>
      <c r="BI10" s="7"/>
      <c r="BJ10" s="6"/>
      <c r="BK10" s="8"/>
      <c r="BL10" s="11"/>
      <c r="BM10" s="12"/>
      <c r="BN10" s="12"/>
      <c r="BO10" s="7"/>
      <c r="BP10" s="6"/>
      <c r="BQ10" s="8"/>
      <c r="BR10" s="11"/>
      <c r="BS10" s="12"/>
      <c r="BT10" s="12"/>
      <c r="BU10" s="7"/>
      <c r="BV10" s="6"/>
      <c r="BW10" s="8"/>
      <c r="BX10" s="11"/>
      <c r="BY10" s="12"/>
      <c r="BZ10" s="12"/>
      <c r="CA10" s="7"/>
      <c r="CB10" s="6"/>
      <c r="CC10" s="8"/>
      <c r="CD10" s="11"/>
      <c r="CE10" s="12"/>
      <c r="CF10" s="12"/>
      <c r="CG10" s="7"/>
      <c r="CH10" s="6"/>
      <c r="CI10" s="8"/>
      <c r="CJ10" s="11"/>
      <c r="CK10" s="12"/>
      <c r="CL10" s="12"/>
      <c r="CM10" s="7"/>
      <c r="CN10" s="6"/>
      <c r="CO10" s="8"/>
      <c r="CP10" s="11"/>
      <c r="CQ10" s="12"/>
      <c r="CR10" s="12"/>
      <c r="CS10" s="7"/>
      <c r="CT10" s="6"/>
      <c r="CU10" s="8"/>
      <c r="CV10" s="11"/>
      <c r="CW10" s="12"/>
      <c r="CX10" s="12"/>
      <c r="CY10" s="7"/>
      <c r="CZ10" s="6"/>
      <c r="DA10" s="8"/>
      <c r="DB10" s="11"/>
      <c r="DC10" s="12"/>
      <c r="DD10" s="12"/>
      <c r="DE10" s="7"/>
      <c r="DF10" s="6"/>
      <c r="DG10" s="8"/>
      <c r="DH10" s="11"/>
      <c r="DI10" s="12"/>
      <c r="DJ10" s="12"/>
      <c r="DK10" s="7"/>
      <c r="DL10" s="6"/>
      <c r="DM10" s="8"/>
      <c r="DN10" s="11"/>
      <c r="DO10" s="12"/>
      <c r="DP10" s="12"/>
      <c r="DQ10" s="7"/>
      <c r="DR10" s="6"/>
      <c r="DS10" s="8"/>
      <c r="DT10" s="11"/>
      <c r="DU10" s="12"/>
      <c r="DV10" s="12"/>
      <c r="DW10" s="7"/>
      <c r="DX10" s="6"/>
      <c r="DY10" s="8"/>
      <c r="DZ10" s="11"/>
      <c r="EA10" s="12"/>
      <c r="EB10" s="12"/>
      <c r="EC10" s="7"/>
      <c r="ED10" s="6"/>
      <c r="EE10" s="8"/>
      <c r="EF10" s="11"/>
      <c r="EG10" s="15"/>
      <c r="EH10" s="12"/>
      <c r="EI10" s="16"/>
    </row>
    <row r="11" spans="1:144" ht="24" customHeight="1" x14ac:dyDescent="0.25">
      <c r="B11" s="219"/>
      <c r="C11" s="205"/>
      <c r="D11" s="88"/>
      <c r="E11" s="89"/>
      <c r="F11" s="89"/>
      <c r="G11" s="90"/>
      <c r="H11" s="91"/>
      <c r="I11" s="92"/>
      <c r="J11" s="57"/>
      <c r="K11" s="12"/>
      <c r="L11" s="12"/>
      <c r="M11" s="7"/>
      <c r="N11" s="6"/>
      <c r="O11" s="8"/>
      <c r="P11" s="57"/>
      <c r="Q11" s="12"/>
      <c r="R11" s="12"/>
      <c r="S11" s="7"/>
      <c r="T11" s="6"/>
      <c r="U11" s="8"/>
      <c r="V11" s="57"/>
      <c r="W11" s="12"/>
      <c r="X11" s="12"/>
      <c r="Y11" s="7"/>
      <c r="Z11" s="6"/>
      <c r="AA11" s="141"/>
      <c r="AB11" s="11"/>
      <c r="AC11" s="12"/>
      <c r="AD11" s="12"/>
      <c r="AE11" s="7"/>
      <c r="AF11" s="6"/>
      <c r="AG11" s="8"/>
      <c r="AH11" s="57"/>
      <c r="AI11" s="12"/>
      <c r="AJ11" s="12"/>
      <c r="AK11" s="7"/>
      <c r="AL11" s="6"/>
      <c r="AM11" s="8"/>
      <c r="AN11" s="11"/>
      <c r="AO11" s="12"/>
      <c r="AP11" s="12"/>
      <c r="AQ11" s="7"/>
      <c r="AR11" s="6"/>
      <c r="AS11" s="8"/>
      <c r="AT11" s="11"/>
      <c r="AU11" s="12"/>
      <c r="AV11" s="12"/>
      <c r="AW11" s="7"/>
      <c r="AX11" s="6"/>
      <c r="AY11" s="8"/>
      <c r="AZ11" s="11"/>
      <c r="BA11" s="12"/>
      <c r="BB11" s="12"/>
      <c r="BC11" s="7"/>
      <c r="BD11" s="6"/>
      <c r="BE11" s="8"/>
      <c r="BF11" s="11"/>
      <c r="BG11" s="12"/>
      <c r="BH11" s="12"/>
      <c r="BI11" s="7"/>
      <c r="BJ11" s="6"/>
      <c r="BK11" s="8"/>
      <c r="BL11" s="11"/>
      <c r="BM11" s="12"/>
      <c r="BN11" s="12"/>
      <c r="BO11" s="7"/>
      <c r="BP11" s="6"/>
      <c r="BQ11" s="8"/>
      <c r="BR11" s="11"/>
      <c r="BS11" s="12"/>
      <c r="BT11" s="12"/>
      <c r="BU11" s="7"/>
      <c r="BV11" s="6"/>
      <c r="BW11" s="8"/>
      <c r="BX11" s="11"/>
      <c r="BY11" s="12"/>
      <c r="BZ11" s="12"/>
      <c r="CA11" s="7"/>
      <c r="CB11" s="6"/>
      <c r="CC11" s="8"/>
      <c r="CD11" s="11"/>
      <c r="CE11" s="12"/>
      <c r="CF11" s="12"/>
      <c r="CG11" s="7"/>
      <c r="CH11" s="6"/>
      <c r="CI11" s="8"/>
      <c r="CJ11" s="11"/>
      <c r="CK11" s="12"/>
      <c r="CL11" s="12"/>
      <c r="CM11" s="7"/>
      <c r="CN11" s="6"/>
      <c r="CO11" s="8"/>
      <c r="CP11" s="11"/>
      <c r="CQ11" s="12"/>
      <c r="CR11" s="12"/>
      <c r="CS11" s="7"/>
      <c r="CT11" s="6"/>
      <c r="CU11" s="8"/>
      <c r="CV11" s="11"/>
      <c r="CW11" s="12"/>
      <c r="CX11" s="12"/>
      <c r="CY11" s="7"/>
      <c r="CZ11" s="6"/>
      <c r="DA11" s="8"/>
      <c r="DB11" s="11"/>
      <c r="DC11" s="12"/>
      <c r="DD11" s="12"/>
      <c r="DE11" s="7"/>
      <c r="DF11" s="6"/>
      <c r="DG11" s="8"/>
      <c r="DH11" s="11"/>
      <c r="DI11" s="12"/>
      <c r="DJ11" s="12"/>
      <c r="DK11" s="7"/>
      <c r="DL11" s="6"/>
      <c r="DM11" s="8"/>
      <c r="DN11" s="11"/>
      <c r="DO11" s="12"/>
      <c r="DP11" s="12"/>
      <c r="DQ11" s="7"/>
      <c r="DR11" s="6"/>
      <c r="DS11" s="8"/>
      <c r="DT11" s="11"/>
      <c r="DU11" s="12"/>
      <c r="DV11" s="12"/>
      <c r="DW11" s="7"/>
      <c r="DX11" s="6"/>
      <c r="DY11" s="8"/>
      <c r="DZ11" s="11"/>
      <c r="EA11" s="12"/>
      <c r="EB11" s="12"/>
      <c r="EC11" s="7"/>
      <c r="ED11" s="6"/>
      <c r="EE11" s="8"/>
      <c r="EF11" s="11"/>
      <c r="EG11" s="15"/>
      <c r="EH11" s="12"/>
      <c r="EI11" s="16"/>
    </row>
    <row r="12" spans="1:144" ht="24" customHeight="1" x14ac:dyDescent="0.25">
      <c r="B12" s="219"/>
      <c r="C12" s="205"/>
      <c r="D12" s="88"/>
      <c r="E12" s="89"/>
      <c r="F12" s="89"/>
      <c r="G12" s="90"/>
      <c r="H12" s="91"/>
      <c r="I12" s="92"/>
      <c r="J12" s="57"/>
      <c r="K12" s="12"/>
      <c r="L12" s="12"/>
      <c r="M12" s="7"/>
      <c r="N12" s="6"/>
      <c r="O12" s="8"/>
      <c r="P12" s="57"/>
      <c r="Q12" s="12"/>
      <c r="R12" s="12"/>
      <c r="S12" s="7"/>
      <c r="T12" s="6"/>
      <c r="U12" s="8"/>
      <c r="V12" s="57"/>
      <c r="W12" s="12"/>
      <c r="X12" s="12"/>
      <c r="Y12" s="7"/>
      <c r="Z12" s="6"/>
      <c r="AA12" s="141"/>
      <c r="AB12" s="11"/>
      <c r="AC12" s="12"/>
      <c r="AD12" s="12"/>
      <c r="AE12" s="7"/>
      <c r="AF12" s="6"/>
      <c r="AG12" s="8"/>
      <c r="AH12" s="57"/>
      <c r="AI12" s="12"/>
      <c r="AJ12" s="12"/>
      <c r="AK12" s="7"/>
      <c r="AL12" s="6"/>
      <c r="AM12" s="8"/>
      <c r="AN12" s="11"/>
      <c r="AO12" s="12"/>
      <c r="AP12" s="12"/>
      <c r="AQ12" s="7"/>
      <c r="AR12" s="6"/>
      <c r="AS12" s="8"/>
      <c r="AT12" s="11"/>
      <c r="AU12" s="12"/>
      <c r="AV12" s="12"/>
      <c r="AW12" s="7"/>
      <c r="AX12" s="6"/>
      <c r="AY12" s="8"/>
      <c r="AZ12" s="11"/>
      <c r="BA12" s="12"/>
      <c r="BB12" s="12"/>
      <c r="BC12" s="7"/>
      <c r="BD12" s="6"/>
      <c r="BE12" s="8"/>
      <c r="BF12" s="11"/>
      <c r="BG12" s="12"/>
      <c r="BH12" s="12"/>
      <c r="BI12" s="7"/>
      <c r="BJ12" s="6"/>
      <c r="BK12" s="8"/>
      <c r="BL12" s="11"/>
      <c r="BM12" s="12"/>
      <c r="BN12" s="12"/>
      <c r="BO12" s="7"/>
      <c r="BP12" s="6"/>
      <c r="BQ12" s="8"/>
      <c r="BR12" s="11"/>
      <c r="BS12" s="12"/>
      <c r="BT12" s="12"/>
      <c r="BU12" s="7"/>
      <c r="BV12" s="6"/>
      <c r="BW12" s="8"/>
      <c r="BX12" s="11"/>
      <c r="BY12" s="12"/>
      <c r="BZ12" s="12"/>
      <c r="CA12" s="7"/>
      <c r="CB12" s="6"/>
      <c r="CC12" s="8"/>
      <c r="CD12" s="11"/>
      <c r="CE12" s="12"/>
      <c r="CF12" s="12"/>
      <c r="CG12" s="7"/>
      <c r="CH12" s="6"/>
      <c r="CI12" s="8"/>
      <c r="CJ12" s="11"/>
      <c r="CK12" s="12"/>
      <c r="CL12" s="12"/>
      <c r="CM12" s="7"/>
      <c r="CN12" s="6"/>
      <c r="CO12" s="8"/>
      <c r="CP12" s="11"/>
      <c r="CQ12" s="12"/>
      <c r="CR12" s="12"/>
      <c r="CS12" s="7"/>
      <c r="CT12" s="6"/>
      <c r="CU12" s="8"/>
      <c r="CV12" s="11"/>
      <c r="CW12" s="12"/>
      <c r="CX12" s="12"/>
      <c r="CY12" s="7"/>
      <c r="CZ12" s="6"/>
      <c r="DA12" s="8"/>
      <c r="DB12" s="11"/>
      <c r="DC12" s="12"/>
      <c r="DD12" s="12"/>
      <c r="DE12" s="7"/>
      <c r="DF12" s="6"/>
      <c r="DG12" s="8"/>
      <c r="DH12" s="11"/>
      <c r="DI12" s="12"/>
      <c r="DJ12" s="12"/>
      <c r="DK12" s="7"/>
      <c r="DL12" s="6"/>
      <c r="DM12" s="8"/>
      <c r="DN12" s="11"/>
      <c r="DO12" s="12"/>
      <c r="DP12" s="12"/>
      <c r="DQ12" s="7"/>
      <c r="DR12" s="6"/>
      <c r="DS12" s="8"/>
      <c r="DT12" s="11"/>
      <c r="DU12" s="12"/>
      <c r="DV12" s="12"/>
      <c r="DW12" s="7"/>
      <c r="DX12" s="6"/>
      <c r="DY12" s="8"/>
      <c r="DZ12" s="11"/>
      <c r="EA12" s="12"/>
      <c r="EB12" s="12"/>
      <c r="EC12" s="7"/>
      <c r="ED12" s="6"/>
      <c r="EE12" s="8"/>
      <c r="EF12" s="11"/>
      <c r="EG12" s="15"/>
      <c r="EH12" s="12"/>
      <c r="EI12" s="16"/>
    </row>
    <row r="13" spans="1:144" ht="24" customHeight="1" thickBot="1" x14ac:dyDescent="0.3">
      <c r="B13" s="219"/>
      <c r="C13" s="205"/>
      <c r="D13" s="88"/>
      <c r="E13" s="89"/>
      <c r="F13" s="89"/>
      <c r="G13" s="90"/>
      <c r="H13" s="91"/>
      <c r="I13" s="92"/>
      <c r="J13" s="57"/>
      <c r="K13" s="12"/>
      <c r="L13" s="12"/>
      <c r="M13" s="7"/>
      <c r="N13" s="6"/>
      <c r="O13" s="8"/>
      <c r="P13" s="57"/>
      <c r="Q13" s="12"/>
      <c r="R13" s="12"/>
      <c r="S13" s="7"/>
      <c r="T13" s="6"/>
      <c r="U13" s="8"/>
      <c r="V13" s="57"/>
      <c r="W13" s="12"/>
      <c r="X13" s="12"/>
      <c r="Y13" s="7"/>
      <c r="Z13" s="6"/>
      <c r="AA13" s="141"/>
      <c r="AB13" s="11"/>
      <c r="AC13" s="12"/>
      <c r="AD13" s="12"/>
      <c r="AE13" s="7"/>
      <c r="AF13" s="6"/>
      <c r="AG13" s="8"/>
      <c r="AH13" s="57"/>
      <c r="AI13" s="12"/>
      <c r="AJ13" s="12"/>
      <c r="AK13" s="7"/>
      <c r="AL13" s="6"/>
      <c r="AM13" s="8"/>
      <c r="AN13" s="11"/>
      <c r="AO13" s="12"/>
      <c r="AP13" s="12"/>
      <c r="AQ13" s="7"/>
      <c r="AR13" s="6"/>
      <c r="AS13" s="8"/>
      <c r="AT13" s="11"/>
      <c r="AU13" s="12"/>
      <c r="AV13" s="12"/>
      <c r="AW13" s="7"/>
      <c r="AX13" s="6"/>
      <c r="AY13" s="8"/>
      <c r="AZ13" s="11"/>
      <c r="BA13" s="12"/>
      <c r="BB13" s="12"/>
      <c r="BC13" s="7"/>
      <c r="BD13" s="6"/>
      <c r="BE13" s="8"/>
      <c r="BF13" s="11"/>
      <c r="BG13" s="12"/>
      <c r="BH13" s="12"/>
      <c r="BI13" s="7"/>
      <c r="BJ13" s="6"/>
      <c r="BK13" s="8"/>
      <c r="BL13" s="11"/>
      <c r="BM13" s="12"/>
      <c r="BN13" s="12"/>
      <c r="BO13" s="7"/>
      <c r="BP13" s="6"/>
      <c r="BQ13" s="8"/>
      <c r="BR13" s="11"/>
      <c r="BS13" s="12"/>
      <c r="BT13" s="12"/>
      <c r="BU13" s="7"/>
      <c r="BV13" s="6"/>
      <c r="BW13" s="8"/>
      <c r="BX13" s="11"/>
      <c r="BY13" s="12"/>
      <c r="BZ13" s="12"/>
      <c r="CA13" s="7"/>
      <c r="CB13" s="6"/>
      <c r="CC13" s="8"/>
      <c r="CD13" s="11"/>
      <c r="CE13" s="12"/>
      <c r="CF13" s="12"/>
      <c r="CG13" s="7"/>
      <c r="CH13" s="6"/>
      <c r="CI13" s="8"/>
      <c r="CJ13" s="11"/>
      <c r="CK13" s="12"/>
      <c r="CL13" s="12"/>
      <c r="CM13" s="7"/>
      <c r="CN13" s="6"/>
      <c r="CO13" s="8"/>
      <c r="CP13" s="11"/>
      <c r="CQ13" s="12"/>
      <c r="CR13" s="12"/>
      <c r="CS13" s="7"/>
      <c r="CT13" s="6"/>
      <c r="CU13" s="8"/>
      <c r="CV13" s="11"/>
      <c r="CW13" s="12"/>
      <c r="CX13" s="12"/>
      <c r="CY13" s="7"/>
      <c r="CZ13" s="6"/>
      <c r="DA13" s="8"/>
      <c r="DB13" s="11"/>
      <c r="DC13" s="12"/>
      <c r="DD13" s="12"/>
      <c r="DE13" s="7"/>
      <c r="DF13" s="6"/>
      <c r="DG13" s="8"/>
      <c r="DH13" s="11"/>
      <c r="DI13" s="12"/>
      <c r="DJ13" s="12"/>
      <c r="DK13" s="7"/>
      <c r="DL13" s="6"/>
      <c r="DM13" s="8"/>
      <c r="DN13" s="11"/>
      <c r="DO13" s="12"/>
      <c r="DP13" s="12"/>
      <c r="DQ13" s="7"/>
      <c r="DR13" s="6"/>
      <c r="DS13" s="8"/>
      <c r="DT13" s="11"/>
      <c r="DU13" s="12"/>
      <c r="DV13" s="12"/>
      <c r="DW13" s="7"/>
      <c r="DX13" s="6"/>
      <c r="DY13" s="8"/>
      <c r="DZ13" s="11"/>
      <c r="EA13" s="12"/>
      <c r="EB13" s="12"/>
      <c r="EC13" s="7"/>
      <c r="ED13" s="6"/>
      <c r="EE13" s="8"/>
      <c r="EF13" s="11"/>
      <c r="EG13" s="15"/>
      <c r="EH13" s="12"/>
      <c r="EI13" s="16"/>
    </row>
    <row r="14" spans="1:144" s="131" customFormat="1" ht="24" customHeight="1" thickBot="1" x14ac:dyDescent="0.3">
      <c r="A14" s="27"/>
      <c r="B14" s="219"/>
      <c r="C14" s="206"/>
      <c r="D14" s="195">
        <v>0</v>
      </c>
      <c r="E14" s="196"/>
      <c r="F14" s="196"/>
      <c r="G14" s="196"/>
      <c r="H14" s="196"/>
      <c r="I14" s="197"/>
      <c r="J14" s="195">
        <v>0</v>
      </c>
      <c r="K14" s="196"/>
      <c r="L14" s="196"/>
      <c r="M14" s="196"/>
      <c r="N14" s="196"/>
      <c r="O14" s="197"/>
      <c r="P14" s="195">
        <v>0</v>
      </c>
      <c r="Q14" s="196"/>
      <c r="R14" s="196"/>
      <c r="S14" s="196"/>
      <c r="T14" s="196"/>
      <c r="U14" s="197"/>
      <c r="V14" s="195">
        <v>0</v>
      </c>
      <c r="W14" s="196"/>
      <c r="X14" s="196"/>
      <c r="Y14" s="196"/>
      <c r="Z14" s="196"/>
      <c r="AA14" s="196"/>
      <c r="AB14" s="195">
        <v>0</v>
      </c>
      <c r="AC14" s="196"/>
      <c r="AD14" s="196"/>
      <c r="AE14" s="196"/>
      <c r="AF14" s="196"/>
      <c r="AG14" s="197"/>
      <c r="AH14" s="196">
        <v>0</v>
      </c>
      <c r="AI14" s="196"/>
      <c r="AJ14" s="196"/>
      <c r="AK14" s="196"/>
      <c r="AL14" s="196"/>
      <c r="AM14" s="197"/>
      <c r="AN14" s="195">
        <v>0</v>
      </c>
      <c r="AO14" s="196"/>
      <c r="AP14" s="196"/>
      <c r="AQ14" s="196"/>
      <c r="AR14" s="196"/>
      <c r="AS14" s="197"/>
      <c r="AT14" s="195">
        <v>0</v>
      </c>
      <c r="AU14" s="196"/>
      <c r="AV14" s="196"/>
      <c r="AW14" s="196"/>
      <c r="AX14" s="196"/>
      <c r="AY14" s="197"/>
      <c r="AZ14" s="195">
        <v>0</v>
      </c>
      <c r="BA14" s="196"/>
      <c r="BB14" s="196"/>
      <c r="BC14" s="196"/>
      <c r="BD14" s="196"/>
      <c r="BE14" s="197"/>
      <c r="BF14" s="195">
        <v>0</v>
      </c>
      <c r="BG14" s="196"/>
      <c r="BH14" s="196"/>
      <c r="BI14" s="196"/>
      <c r="BJ14" s="196"/>
      <c r="BK14" s="197"/>
      <c r="BL14" s="195">
        <v>0</v>
      </c>
      <c r="BM14" s="196"/>
      <c r="BN14" s="196"/>
      <c r="BO14" s="196"/>
      <c r="BP14" s="196"/>
      <c r="BQ14" s="197"/>
      <c r="BR14" s="195">
        <v>0</v>
      </c>
      <c r="BS14" s="196"/>
      <c r="BT14" s="196"/>
      <c r="BU14" s="196"/>
      <c r="BV14" s="196"/>
      <c r="BW14" s="197"/>
      <c r="BX14" s="195">
        <v>0</v>
      </c>
      <c r="BY14" s="196"/>
      <c r="BZ14" s="196"/>
      <c r="CA14" s="196"/>
      <c r="CB14" s="196"/>
      <c r="CC14" s="197"/>
      <c r="CD14" s="195">
        <v>0</v>
      </c>
      <c r="CE14" s="196"/>
      <c r="CF14" s="196"/>
      <c r="CG14" s="196"/>
      <c r="CH14" s="196"/>
      <c r="CI14" s="197"/>
      <c r="CJ14" s="195">
        <v>0</v>
      </c>
      <c r="CK14" s="196"/>
      <c r="CL14" s="196"/>
      <c r="CM14" s="196"/>
      <c r="CN14" s="196"/>
      <c r="CO14" s="197"/>
      <c r="CP14" s="195">
        <v>0</v>
      </c>
      <c r="CQ14" s="196"/>
      <c r="CR14" s="196"/>
      <c r="CS14" s="196"/>
      <c r="CT14" s="196"/>
      <c r="CU14" s="197"/>
      <c r="CV14" s="195">
        <v>0</v>
      </c>
      <c r="CW14" s="196"/>
      <c r="CX14" s="196"/>
      <c r="CY14" s="196"/>
      <c r="CZ14" s="196"/>
      <c r="DA14" s="197"/>
      <c r="DB14" s="195">
        <v>0</v>
      </c>
      <c r="DC14" s="196"/>
      <c r="DD14" s="196"/>
      <c r="DE14" s="196"/>
      <c r="DF14" s="196"/>
      <c r="DG14" s="197"/>
      <c r="DH14" s="195">
        <v>0</v>
      </c>
      <c r="DI14" s="196"/>
      <c r="DJ14" s="196"/>
      <c r="DK14" s="196"/>
      <c r="DL14" s="196"/>
      <c r="DM14" s="197"/>
      <c r="DN14" s="195">
        <v>0</v>
      </c>
      <c r="DO14" s="196"/>
      <c r="DP14" s="196"/>
      <c r="DQ14" s="196"/>
      <c r="DR14" s="196"/>
      <c r="DS14" s="197"/>
      <c r="DT14" s="195">
        <v>0</v>
      </c>
      <c r="DU14" s="196"/>
      <c r="DV14" s="196"/>
      <c r="DW14" s="196"/>
      <c r="DX14" s="196"/>
      <c r="DY14" s="197"/>
      <c r="DZ14" s="195">
        <v>0</v>
      </c>
      <c r="EA14" s="196"/>
      <c r="EB14" s="196"/>
      <c r="EC14" s="196"/>
      <c r="ED14" s="196"/>
      <c r="EE14" s="197"/>
      <c r="EF14" s="129"/>
      <c r="EG14" s="98"/>
      <c r="EH14" s="130"/>
      <c r="EI14" s="99"/>
    </row>
    <row r="15" spans="1:144" ht="24" customHeight="1" thickBot="1" x14ac:dyDescent="0.3">
      <c r="B15" s="219"/>
      <c r="C15" s="55" t="s">
        <v>128</v>
      </c>
      <c r="D15" s="45">
        <f>MAX(E6:F13)-IF(D6="",E6,D6)-MIN(H6:H12)+$C3</f>
        <v>0</v>
      </c>
      <c r="E15" s="48"/>
      <c r="F15" s="48"/>
      <c r="G15" s="49"/>
      <c r="H15" s="46" t="e">
        <f ca="1">OFFSET(H5,MATCH(MIN(H6:H12),H6:H12,0),-4)-IF(D6="",E6,D6)+$C3</f>
        <v>#N/A</v>
      </c>
      <c r="I15" s="47"/>
      <c r="J15" s="45">
        <f>MAX(K6:L13)-IF(J6="",K6,J6)-MIN(N6:N12)+$C$3</f>
        <v>0</v>
      </c>
      <c r="K15" s="48"/>
      <c r="L15" s="48"/>
      <c r="M15" s="49"/>
      <c r="N15" s="46" t="e">
        <f ca="1">OFFSET(N5,MATCH(MIN(N6:N12),N6:N12,0),-4)-IF(J6="",K6,J6)+$C3</f>
        <v>#N/A</v>
      </c>
      <c r="O15" s="47"/>
      <c r="P15" s="45">
        <f>MAX(Q6:R13)-IF(P6="",Q6,P6)-MIN(T6:T12)+$C$3</f>
        <v>0</v>
      </c>
      <c r="Q15" s="48"/>
      <c r="R15" s="48"/>
      <c r="S15" s="49"/>
      <c r="T15" s="46" t="e">
        <f ca="1">OFFSET(T5,MATCH(MIN(T6:T12),T6:T12,0),-4)-IF(P6="",Q6,P6)+$C3</f>
        <v>#N/A</v>
      </c>
      <c r="U15" s="47"/>
      <c r="V15" s="45">
        <f>MAX(W6:X13)-IF(V6="",W6,V6)-MIN(Z6:Z12)+$C$3</f>
        <v>0</v>
      </c>
      <c r="W15" s="48"/>
      <c r="X15" s="48"/>
      <c r="Y15" s="49"/>
      <c r="Z15" s="46" t="e">
        <f ca="1">OFFSET(Z5,MATCH(MIN(Z6:Z12),Z6:Z12,0),-4)-IF(V6="",W6,V6)+$C3</f>
        <v>#N/A</v>
      </c>
      <c r="AA15" s="139"/>
      <c r="AB15" s="45">
        <f>MAX(AC6:AD13)-IF(AB6="",AC6,AB6)-MIN(AF6:AF12)+$C$3</f>
        <v>0</v>
      </c>
      <c r="AC15" s="48"/>
      <c r="AD15" s="48"/>
      <c r="AE15" s="49"/>
      <c r="AF15" s="46" t="e">
        <f ca="1">OFFSET(AF5,MATCH(MIN(AF6:AF12),AF6:AF12,0),-4)-IF(AB6="",AC6,AB6)+$C3</f>
        <v>#N/A</v>
      </c>
      <c r="AG15" s="47"/>
      <c r="AH15" s="142">
        <f>MAX(AI6:AJ13)-IF(AH6="",AI6,AH6)-MIN(AL6:AL12)+$C$3</f>
        <v>0</v>
      </c>
      <c r="AI15" s="48"/>
      <c r="AJ15" s="48"/>
      <c r="AK15" s="49"/>
      <c r="AL15" s="46" t="e">
        <f ca="1">OFFSET(AL5,MATCH(MIN(AL6:AL12),AL6:AL12,0),-4)-IF(AH6="",AI6,AH6)+$C3</f>
        <v>#N/A</v>
      </c>
      <c r="AM15" s="47"/>
      <c r="AN15" s="45">
        <f>MAX(AO6:AP13)-IF(AN6="",AO6,AN6)-MIN(AR6:AR12)+$C$3</f>
        <v>0</v>
      </c>
      <c r="AO15" s="48"/>
      <c r="AP15" s="48"/>
      <c r="AQ15" s="49"/>
      <c r="AR15" s="46" t="e">
        <f ca="1">OFFSET(AR5,MATCH(MIN(AR6:AR12),AR6:AR12,0),-4)-IF(AN6="",AO6,AN6)+$C3</f>
        <v>#N/A</v>
      </c>
      <c r="AS15" s="47"/>
      <c r="AT15" s="45">
        <f>MAX(AU6:AV13)-IF(AT6="",AU6,AT6)-MIN(AX6:AX12)+$C$3</f>
        <v>0</v>
      </c>
      <c r="AU15" s="48"/>
      <c r="AV15" s="48"/>
      <c r="AW15" s="49"/>
      <c r="AX15" s="46" t="e">
        <f ca="1">OFFSET(AX5,MATCH(MIN(AX6:AX12),AX6:AX12,0),-4)-IF(AT6="",AU6,AT6)+$C3</f>
        <v>#N/A</v>
      </c>
      <c r="AY15" s="47"/>
      <c r="AZ15" s="45">
        <f>MAX(BA6:BB13)-IF(AZ6="",BA6,AZ6)-MIN(BD6:BD12)+$C$3</f>
        <v>0</v>
      </c>
      <c r="BA15" s="48"/>
      <c r="BB15" s="48"/>
      <c r="BC15" s="49"/>
      <c r="BD15" s="46" t="e">
        <f ca="1">OFFSET(BD5,MATCH(MIN(BD6:BD12),BD6:BD12,0),-4)-IF(AZ6="",BA6,AZ6)+$C3</f>
        <v>#N/A</v>
      </c>
      <c r="BE15" s="47"/>
      <c r="BF15" s="45">
        <f>MAX(BG6:BH13)-IF(BF6="",BG6,BF6)-MIN(BJ6:BJ12)+$C$3</f>
        <v>0</v>
      </c>
      <c r="BG15" s="48"/>
      <c r="BH15" s="48"/>
      <c r="BI15" s="49"/>
      <c r="BJ15" s="46" t="e">
        <f ca="1">OFFSET(BJ5,MATCH(MIN(BJ6:BJ12),BJ6:BJ12,0),-4)-IF(BF6="",BG6,BF6)+$C3</f>
        <v>#N/A</v>
      </c>
      <c r="BK15" s="47"/>
      <c r="BL15" s="45">
        <f>MAX(BM6:BN13)-IF(BL6="",BM6,BL6)-MIN(BP6:BP12)+$C$3</f>
        <v>0</v>
      </c>
      <c r="BM15" s="48"/>
      <c r="BN15" s="48"/>
      <c r="BO15" s="49"/>
      <c r="BP15" s="46" t="e">
        <f ca="1">OFFSET(BP5,MATCH(MIN(BP6:BP12),BP6:BP12,0),-4)-IF(BL6="",BM6,BL6)+$C3</f>
        <v>#N/A</v>
      </c>
      <c r="BQ15" s="47"/>
      <c r="BR15" s="45">
        <f>MAX(BS6:BT13)-IF(BR6="",BS6,BR6)-MIN(BV6:BV12)+$C$3</f>
        <v>0</v>
      </c>
      <c r="BS15" s="48"/>
      <c r="BT15" s="48"/>
      <c r="BU15" s="49"/>
      <c r="BV15" s="46" t="e">
        <f ca="1">OFFSET(BV5,MATCH(MIN(BV6:BV12),BV6:BV12,0),-4)-IF(BR6="",BS6,BR6)+$C3</f>
        <v>#N/A</v>
      </c>
      <c r="BW15" s="47"/>
      <c r="BX15" s="45">
        <f>MAX(BY6:BZ13)-IF(BX6="",BY6,BX6)-MIN(CB6:CB12)+$C$3</f>
        <v>0</v>
      </c>
      <c r="BY15" s="48"/>
      <c r="BZ15" s="48"/>
      <c r="CA15" s="49"/>
      <c r="CB15" s="46" t="e">
        <f ca="1">OFFSET(CB5,MATCH(MIN(CB6:CB12),CB6:CB12,0),-4)-IF(BX6="",BY6,BX6)+$C3</f>
        <v>#N/A</v>
      </c>
      <c r="CC15" s="47"/>
      <c r="CD15" s="45">
        <f>MAX(CE6:CF13)-IF(CD6="",CE6,CD6)-MIN(CH6:CH12)+$C$3</f>
        <v>0</v>
      </c>
      <c r="CE15" s="48"/>
      <c r="CF15" s="48"/>
      <c r="CG15" s="49"/>
      <c r="CH15" s="46" t="e">
        <f ca="1">OFFSET(CH5,MATCH(MIN(CH6:CH12),CH6:CH12,0),-4)-IF(CD6="",CE6,CD6)+$C3</f>
        <v>#N/A</v>
      </c>
      <c r="CI15" s="47"/>
      <c r="CJ15" s="45">
        <f>MAX(CK6:CL13)-IF(CJ6="",CK6,CJ6)-MIN(CN6:CN12)+$C$3</f>
        <v>0</v>
      </c>
      <c r="CK15" s="48"/>
      <c r="CL15" s="48"/>
      <c r="CM15" s="49"/>
      <c r="CN15" s="46" t="e">
        <f ca="1">OFFSET(CN5,MATCH(MIN(CN6:CN12),CN6:CN12,0),-4)-IF(CJ6="",CK6,CJ6)+$C3</f>
        <v>#N/A</v>
      </c>
      <c r="CO15" s="47"/>
      <c r="CP15" s="45">
        <f>MAX(CQ6:CR13)-IF(CP6="",CQ6,CP6)-MIN(CT6:CT12)+$C$3</f>
        <v>0</v>
      </c>
      <c r="CQ15" s="48"/>
      <c r="CR15" s="48"/>
      <c r="CS15" s="49"/>
      <c r="CT15" s="46" t="e">
        <f ca="1">OFFSET(CT5,MATCH(MIN(CT6:CT12),CT6:CT12,0),-4)-IF(CP6="",CQ6,CP6)+$C3</f>
        <v>#N/A</v>
      </c>
      <c r="CU15" s="47"/>
      <c r="CV15" s="45">
        <f>MAX(CW6:CX13)-IF(CV6="",CW6,CV6)-MIN(CZ6:CZ12)+$C$3</f>
        <v>0</v>
      </c>
      <c r="CW15" s="48"/>
      <c r="CX15" s="48"/>
      <c r="CY15" s="49"/>
      <c r="CZ15" s="46" t="e">
        <f ca="1">OFFSET(CZ5,MATCH(MIN(CZ6:CZ12),CZ6:CZ12,0),-4)-IF(CV6="",CW6,CV6)+$C3</f>
        <v>#N/A</v>
      </c>
      <c r="DA15" s="47"/>
      <c r="DB15" s="45">
        <f>MAX(DC6:DD13)-IF(DB6="",DC6,DB6)-MIN(DF6:DF12)+$C$3</f>
        <v>0</v>
      </c>
      <c r="DC15" s="48"/>
      <c r="DD15" s="48"/>
      <c r="DE15" s="49"/>
      <c r="DF15" s="46" t="e">
        <f ca="1">OFFSET(DF5,MATCH(MIN(DF6:DF12),DF6:DF12,0),-4)-IF(DB6="",DC6,DB6)+$C3</f>
        <v>#N/A</v>
      </c>
      <c r="DG15" s="47"/>
      <c r="DH15" s="45">
        <f>MAX(DI6:DJ13)-IF(DH6="",DI6,DH6)-MIN(DL6:DL12)+$C$3</f>
        <v>0</v>
      </c>
      <c r="DI15" s="48"/>
      <c r="DJ15" s="48"/>
      <c r="DK15" s="49"/>
      <c r="DL15" s="46" t="e">
        <f ca="1">OFFSET(DL5,MATCH(MIN(DL6:DL12),DL6:DL12,0),-4)-IF(DH6="",DI6,DH6)+$C3</f>
        <v>#N/A</v>
      </c>
      <c r="DM15" s="47"/>
      <c r="DN15" s="45">
        <f>MAX(DO6:DP13)-IF(DN6="",DO6,DN6)-MIN(DR6:DR12)+$C$3</f>
        <v>0</v>
      </c>
      <c r="DO15" s="48"/>
      <c r="DP15" s="48"/>
      <c r="DQ15" s="49"/>
      <c r="DR15" s="46" t="e">
        <f ca="1">OFFSET(DR5,MATCH(MIN(DR6:DR12),DR6:DR12,0),-4)-IF(DN6="",DO6,DN6)+$C3</f>
        <v>#N/A</v>
      </c>
      <c r="DS15" s="47"/>
      <c r="DT15" s="45">
        <f>MAX(DU6:DV13)-IF(DT6="",DU6,DT6)-MIN(DX6:DX12)+$C$3</f>
        <v>0</v>
      </c>
      <c r="DU15" s="48"/>
      <c r="DV15" s="48"/>
      <c r="DW15" s="49"/>
      <c r="DX15" s="46" t="e">
        <f ca="1">OFFSET(DX5,MATCH(MIN(DX6:DX12),DX6:DX12,0),-4)-IF(DT6="",DU6,DT6)+$C3</f>
        <v>#N/A</v>
      </c>
      <c r="DY15" s="47"/>
      <c r="DZ15" s="45">
        <f>MAX(EA6:EB13)-IF(DZ6="",EA6,DZ6)-MIN(ED6:ED12)+$C$3</f>
        <v>0</v>
      </c>
      <c r="EA15" s="48"/>
      <c r="EB15" s="48"/>
      <c r="EC15" s="49"/>
      <c r="ED15" s="46" t="e">
        <f ca="1">OFFSET(ED5,MATCH(MIN(ED6:ED12),ED6:ED12,0),-4)-IF(DZ6="",EA6,DZ6)+$C3</f>
        <v>#N/A</v>
      </c>
      <c r="EE15" s="47"/>
      <c r="EF15" s="11"/>
      <c r="EG15" s="51"/>
      <c r="EH15" s="50"/>
      <c r="EI15" s="52"/>
    </row>
    <row r="16" spans="1:144" ht="24" customHeight="1" thickBot="1" x14ac:dyDescent="0.3">
      <c r="B16" s="219"/>
      <c r="C16" s="60">
        <v>0</v>
      </c>
      <c r="D16" s="40" t="s">
        <v>7</v>
      </c>
      <c r="E16" s="41"/>
      <c r="F16" s="41"/>
      <c r="G16" s="41"/>
      <c r="H16" s="41"/>
      <c r="I16" s="42"/>
      <c r="J16" s="40"/>
      <c r="K16" s="41"/>
      <c r="L16" s="41"/>
      <c r="M16" s="41"/>
      <c r="N16" s="41"/>
      <c r="O16" s="42"/>
      <c r="P16" s="40"/>
      <c r="Q16" s="41"/>
      <c r="R16" s="41"/>
      <c r="S16" s="41"/>
      <c r="T16" s="41"/>
      <c r="U16" s="42"/>
      <c r="V16" s="40"/>
      <c r="W16" s="41"/>
      <c r="X16" s="41"/>
      <c r="Y16" s="41"/>
      <c r="Z16" s="41"/>
      <c r="AA16" s="42"/>
      <c r="AB16" s="40"/>
      <c r="AC16" s="41"/>
      <c r="AD16" s="41"/>
      <c r="AE16" s="41"/>
      <c r="AF16" s="41"/>
      <c r="AG16" s="42"/>
      <c r="AH16" s="40"/>
      <c r="AI16" s="41"/>
      <c r="AJ16" s="41"/>
      <c r="AK16" s="41"/>
      <c r="AL16" s="41"/>
      <c r="AM16" s="42"/>
      <c r="AN16" s="40"/>
      <c r="AO16" s="41"/>
      <c r="AP16" s="41"/>
      <c r="AQ16" s="41"/>
      <c r="AR16" s="41"/>
      <c r="AS16" s="42"/>
      <c r="AT16" s="40"/>
      <c r="AU16" s="41"/>
      <c r="AV16" s="41"/>
      <c r="AW16" s="41"/>
      <c r="AX16" s="41"/>
      <c r="AY16" s="42"/>
      <c r="AZ16" s="40"/>
      <c r="BA16" s="41"/>
      <c r="BB16" s="41"/>
      <c r="BC16" s="41"/>
      <c r="BD16" s="41"/>
      <c r="BE16" s="42"/>
      <c r="BF16" s="40"/>
      <c r="BG16" s="41"/>
      <c r="BH16" s="41"/>
      <c r="BI16" s="41"/>
      <c r="BJ16" s="41"/>
      <c r="BK16" s="42"/>
      <c r="BL16" s="40"/>
      <c r="BM16" s="41"/>
      <c r="BN16" s="41"/>
      <c r="BO16" s="41"/>
      <c r="BP16" s="41"/>
      <c r="BQ16" s="42"/>
      <c r="BR16" s="40"/>
      <c r="BS16" s="41"/>
      <c r="BT16" s="41"/>
      <c r="BU16" s="41"/>
      <c r="BV16" s="41"/>
      <c r="BW16" s="42"/>
      <c r="BX16" s="40"/>
      <c r="BY16" s="41"/>
      <c r="BZ16" s="41"/>
      <c r="CA16" s="41"/>
      <c r="CB16" s="41"/>
      <c r="CC16" s="42"/>
      <c r="CD16" s="40"/>
      <c r="CE16" s="41"/>
      <c r="CF16" s="41"/>
      <c r="CG16" s="41"/>
      <c r="CH16" s="41"/>
      <c r="CI16" s="42"/>
      <c r="CJ16" s="40"/>
      <c r="CK16" s="41"/>
      <c r="CL16" s="41"/>
      <c r="CM16" s="41"/>
      <c r="CN16" s="41"/>
      <c r="CO16" s="42"/>
      <c r="CP16" s="40"/>
      <c r="CQ16" s="41"/>
      <c r="CR16" s="41"/>
      <c r="CS16" s="41"/>
      <c r="CT16" s="41"/>
      <c r="CU16" s="42"/>
      <c r="CV16" s="40"/>
      <c r="CW16" s="41"/>
      <c r="CX16" s="41"/>
      <c r="CY16" s="41"/>
      <c r="CZ16" s="41"/>
      <c r="DA16" s="42"/>
      <c r="DB16" s="40"/>
      <c r="DC16" s="41"/>
      <c r="DD16" s="41"/>
      <c r="DE16" s="41"/>
      <c r="DF16" s="41"/>
      <c r="DG16" s="42"/>
      <c r="DH16" s="40"/>
      <c r="DI16" s="41"/>
      <c r="DJ16" s="41"/>
      <c r="DK16" s="41"/>
      <c r="DL16" s="41"/>
      <c r="DM16" s="42"/>
      <c r="DN16" s="40"/>
      <c r="DO16" s="41"/>
      <c r="DP16" s="41"/>
      <c r="DQ16" s="41"/>
      <c r="DR16" s="41"/>
      <c r="DS16" s="42"/>
      <c r="DT16" s="40"/>
      <c r="DU16" s="41"/>
      <c r="DV16" s="41"/>
      <c r="DW16" s="41"/>
      <c r="DX16" s="41"/>
      <c r="DY16" s="42"/>
      <c r="DZ16" s="40"/>
      <c r="EA16" s="41"/>
      <c r="EB16" s="41"/>
      <c r="EC16" s="41"/>
      <c r="ED16" s="41"/>
      <c r="EE16" s="41"/>
      <c r="EF16" s="11"/>
      <c r="EG16" s="15"/>
      <c r="EH16" s="12"/>
      <c r="EI16" s="16"/>
    </row>
    <row r="17" spans="1:139" ht="24" customHeight="1" thickBot="1" x14ac:dyDescent="0.3">
      <c r="B17" s="219"/>
      <c r="C17" s="61"/>
      <c r="D17" s="40" t="s">
        <v>266</v>
      </c>
      <c r="E17" s="41"/>
      <c r="F17" s="41"/>
      <c r="G17" s="41"/>
      <c r="H17" s="41"/>
      <c r="I17" s="42"/>
      <c r="J17" s="40" t="s">
        <v>267</v>
      </c>
      <c r="K17" s="41"/>
      <c r="L17" s="41"/>
      <c r="M17" s="41"/>
      <c r="N17" s="41"/>
      <c r="O17" s="42"/>
      <c r="P17" s="40" t="s">
        <v>268</v>
      </c>
      <c r="Q17" s="41"/>
      <c r="R17" s="41"/>
      <c r="S17" s="41"/>
      <c r="T17" s="41"/>
      <c r="U17" s="42"/>
      <c r="V17" s="40" t="s">
        <v>269</v>
      </c>
      <c r="W17" s="41"/>
      <c r="X17" s="41"/>
      <c r="Y17" s="41"/>
      <c r="Z17" s="41"/>
      <c r="AA17" s="42"/>
      <c r="AB17" s="40" t="s">
        <v>270</v>
      </c>
      <c r="AC17" s="41"/>
      <c r="AD17" s="41"/>
      <c r="AE17" s="41"/>
      <c r="AF17" s="41"/>
      <c r="AG17" s="42"/>
      <c r="AH17" s="40" t="s">
        <v>271</v>
      </c>
      <c r="AI17" s="41"/>
      <c r="AJ17" s="41"/>
      <c r="AK17" s="41"/>
      <c r="AL17" s="41"/>
      <c r="AM17" s="42"/>
      <c r="AN17" s="40" t="s">
        <v>272</v>
      </c>
      <c r="AO17" s="41"/>
      <c r="AP17" s="41"/>
      <c r="AQ17" s="41"/>
      <c r="AR17" s="41"/>
      <c r="AS17" s="42"/>
      <c r="AT17" s="40" t="s">
        <v>273</v>
      </c>
      <c r="AU17" s="41"/>
      <c r="AV17" s="41"/>
      <c r="AW17" s="41"/>
      <c r="AX17" s="41"/>
      <c r="AY17" s="42"/>
      <c r="AZ17" s="40" t="s">
        <v>274</v>
      </c>
      <c r="BA17" s="41"/>
      <c r="BB17" s="41"/>
      <c r="BC17" s="41"/>
      <c r="BD17" s="41"/>
      <c r="BE17" s="42"/>
      <c r="BF17" s="40" t="s">
        <v>275</v>
      </c>
      <c r="BG17" s="41"/>
      <c r="BH17" s="41"/>
      <c r="BI17" s="41"/>
      <c r="BJ17" s="41"/>
      <c r="BK17" s="42"/>
      <c r="BL17" s="40" t="s">
        <v>276</v>
      </c>
      <c r="BM17" s="41"/>
      <c r="BN17" s="41"/>
      <c r="BO17" s="41"/>
      <c r="BP17" s="41"/>
      <c r="BQ17" s="42"/>
      <c r="BR17" s="40" t="s">
        <v>277</v>
      </c>
      <c r="BS17" s="41"/>
      <c r="BT17" s="41"/>
      <c r="BU17" s="41"/>
      <c r="BV17" s="41"/>
      <c r="BW17" s="42"/>
      <c r="BX17" s="40" t="s">
        <v>278</v>
      </c>
      <c r="BY17" s="41"/>
      <c r="BZ17" s="41"/>
      <c r="CA17" s="41"/>
      <c r="CB17" s="41"/>
      <c r="CC17" s="42"/>
      <c r="CD17" s="40" t="s">
        <v>279</v>
      </c>
      <c r="CE17" s="41"/>
      <c r="CF17" s="41"/>
      <c r="CG17" s="41"/>
      <c r="CH17" s="41"/>
      <c r="CI17" s="42"/>
      <c r="CJ17" s="40" t="s">
        <v>280</v>
      </c>
      <c r="CK17" s="41"/>
      <c r="CL17" s="41"/>
      <c r="CM17" s="41"/>
      <c r="CN17" s="41"/>
      <c r="CO17" s="42"/>
      <c r="CP17" s="40" t="s">
        <v>281</v>
      </c>
      <c r="CQ17" s="41"/>
      <c r="CR17" s="41"/>
      <c r="CS17" s="41"/>
      <c r="CT17" s="41"/>
      <c r="CU17" s="42"/>
      <c r="CV17" s="40" t="s">
        <v>282</v>
      </c>
      <c r="CW17" s="41"/>
      <c r="CX17" s="41"/>
      <c r="CY17" s="41"/>
      <c r="CZ17" s="41"/>
      <c r="DA17" s="42"/>
      <c r="DB17" s="40" t="s">
        <v>283</v>
      </c>
      <c r="DC17" s="41"/>
      <c r="DD17" s="41"/>
      <c r="DE17" s="41"/>
      <c r="DF17" s="41"/>
      <c r="DG17" s="42"/>
      <c r="DH17" s="40" t="s">
        <v>284</v>
      </c>
      <c r="DI17" s="41"/>
      <c r="DJ17" s="41"/>
      <c r="DK17" s="41"/>
      <c r="DL17" s="41"/>
      <c r="DM17" s="42"/>
      <c r="DN17" s="40" t="s">
        <v>285</v>
      </c>
      <c r="DO17" s="41"/>
      <c r="DP17" s="41"/>
      <c r="DQ17" s="41"/>
      <c r="DR17" s="41"/>
      <c r="DS17" s="42"/>
      <c r="DT17" s="40" t="s">
        <v>286</v>
      </c>
      <c r="DU17" s="41"/>
      <c r="DV17" s="41"/>
      <c r="DW17" s="41"/>
      <c r="DX17" s="41"/>
      <c r="DY17" s="42"/>
      <c r="DZ17" s="40" t="s">
        <v>287</v>
      </c>
      <c r="EA17" s="41"/>
      <c r="EB17" s="41"/>
      <c r="EC17" s="41"/>
      <c r="ED17" s="41"/>
      <c r="EE17" s="41"/>
      <c r="EF17" s="11"/>
      <c r="EG17" s="15"/>
      <c r="EH17" s="12"/>
      <c r="EI17" s="16"/>
    </row>
    <row r="18" spans="1:139" ht="24" customHeight="1" thickBot="1" x14ac:dyDescent="0.3">
      <c r="B18" s="219"/>
      <c r="C18" s="204" t="s">
        <v>5</v>
      </c>
      <c r="D18" s="34" t="s">
        <v>0</v>
      </c>
      <c r="E18" s="58" t="s">
        <v>1</v>
      </c>
      <c r="F18" s="35" t="s">
        <v>2</v>
      </c>
      <c r="G18" s="58" t="s">
        <v>3</v>
      </c>
      <c r="H18" s="35" t="s">
        <v>4</v>
      </c>
      <c r="I18" s="58" t="s">
        <v>12</v>
      </c>
      <c r="J18" s="35" t="s">
        <v>0</v>
      </c>
      <c r="K18" s="58" t="s">
        <v>1</v>
      </c>
      <c r="L18" s="35" t="s">
        <v>2</v>
      </c>
      <c r="M18" s="58" t="s">
        <v>3</v>
      </c>
      <c r="N18" s="35" t="s">
        <v>4</v>
      </c>
      <c r="O18" s="58" t="s">
        <v>12</v>
      </c>
      <c r="P18" s="34" t="s">
        <v>0</v>
      </c>
      <c r="Q18" s="58" t="s">
        <v>1</v>
      </c>
      <c r="R18" s="35" t="s">
        <v>2</v>
      </c>
      <c r="S18" s="58" t="s">
        <v>3</v>
      </c>
      <c r="T18" s="35" t="s">
        <v>4</v>
      </c>
      <c r="U18" s="58" t="s">
        <v>12</v>
      </c>
      <c r="V18" s="34" t="s">
        <v>0</v>
      </c>
      <c r="W18" s="58" t="s">
        <v>1</v>
      </c>
      <c r="X18" s="35" t="s">
        <v>2</v>
      </c>
      <c r="Y18" s="58" t="s">
        <v>3</v>
      </c>
      <c r="Z18" s="35" t="s">
        <v>4</v>
      </c>
      <c r="AA18" s="58" t="s">
        <v>12</v>
      </c>
      <c r="AB18" s="34" t="s">
        <v>0</v>
      </c>
      <c r="AC18" s="58" t="s">
        <v>1</v>
      </c>
      <c r="AD18" s="35" t="s">
        <v>2</v>
      </c>
      <c r="AE18" s="58" t="s">
        <v>3</v>
      </c>
      <c r="AF18" s="35" t="s">
        <v>4</v>
      </c>
      <c r="AG18" s="58" t="s">
        <v>12</v>
      </c>
      <c r="AH18" s="34" t="s">
        <v>0</v>
      </c>
      <c r="AI18" s="58" t="s">
        <v>1</v>
      </c>
      <c r="AJ18" s="35" t="s">
        <v>2</v>
      </c>
      <c r="AK18" s="58" t="s">
        <v>3</v>
      </c>
      <c r="AL18" s="35" t="s">
        <v>4</v>
      </c>
      <c r="AM18" s="58" t="s">
        <v>12</v>
      </c>
      <c r="AN18" s="34" t="s">
        <v>0</v>
      </c>
      <c r="AO18" s="58" t="s">
        <v>1</v>
      </c>
      <c r="AP18" s="35" t="s">
        <v>2</v>
      </c>
      <c r="AQ18" s="58" t="s">
        <v>3</v>
      </c>
      <c r="AR18" s="35" t="s">
        <v>4</v>
      </c>
      <c r="AS18" s="58" t="s">
        <v>12</v>
      </c>
      <c r="AT18" s="34" t="s">
        <v>0</v>
      </c>
      <c r="AU18" s="58" t="s">
        <v>1</v>
      </c>
      <c r="AV18" s="35" t="s">
        <v>2</v>
      </c>
      <c r="AW18" s="58" t="s">
        <v>3</v>
      </c>
      <c r="AX18" s="35" t="s">
        <v>4</v>
      </c>
      <c r="AY18" s="58" t="s">
        <v>12</v>
      </c>
      <c r="AZ18" s="34" t="s">
        <v>0</v>
      </c>
      <c r="BA18" s="58" t="s">
        <v>1</v>
      </c>
      <c r="BB18" s="35" t="s">
        <v>2</v>
      </c>
      <c r="BC18" s="58" t="s">
        <v>3</v>
      </c>
      <c r="BD18" s="35" t="s">
        <v>4</v>
      </c>
      <c r="BE18" s="58" t="s">
        <v>12</v>
      </c>
      <c r="BF18" s="34" t="s">
        <v>0</v>
      </c>
      <c r="BG18" s="58" t="s">
        <v>1</v>
      </c>
      <c r="BH18" s="35" t="s">
        <v>2</v>
      </c>
      <c r="BI18" s="58" t="s">
        <v>3</v>
      </c>
      <c r="BJ18" s="35" t="s">
        <v>4</v>
      </c>
      <c r="BK18" s="58" t="s">
        <v>12</v>
      </c>
      <c r="BL18" s="34" t="s">
        <v>0</v>
      </c>
      <c r="BM18" s="58" t="s">
        <v>1</v>
      </c>
      <c r="BN18" s="35" t="s">
        <v>2</v>
      </c>
      <c r="BO18" s="58" t="s">
        <v>3</v>
      </c>
      <c r="BP18" s="35" t="s">
        <v>4</v>
      </c>
      <c r="BQ18" s="58" t="s">
        <v>12</v>
      </c>
      <c r="BR18" s="34" t="s">
        <v>0</v>
      </c>
      <c r="BS18" s="58" t="s">
        <v>1</v>
      </c>
      <c r="BT18" s="35" t="s">
        <v>2</v>
      </c>
      <c r="BU18" s="58" t="s">
        <v>3</v>
      </c>
      <c r="BV18" s="35" t="s">
        <v>4</v>
      </c>
      <c r="BW18" s="58" t="s">
        <v>12</v>
      </c>
      <c r="BX18" s="34" t="s">
        <v>0</v>
      </c>
      <c r="BY18" s="58" t="s">
        <v>1</v>
      </c>
      <c r="BZ18" s="35" t="s">
        <v>2</v>
      </c>
      <c r="CA18" s="58" t="s">
        <v>3</v>
      </c>
      <c r="CB18" s="35" t="s">
        <v>4</v>
      </c>
      <c r="CC18" s="58" t="s">
        <v>12</v>
      </c>
      <c r="CD18" s="34" t="s">
        <v>0</v>
      </c>
      <c r="CE18" s="58" t="s">
        <v>1</v>
      </c>
      <c r="CF18" s="35" t="s">
        <v>2</v>
      </c>
      <c r="CG18" s="58" t="s">
        <v>3</v>
      </c>
      <c r="CH18" s="35" t="s">
        <v>4</v>
      </c>
      <c r="CI18" s="58" t="s">
        <v>12</v>
      </c>
      <c r="CJ18" s="34" t="s">
        <v>0</v>
      </c>
      <c r="CK18" s="58" t="s">
        <v>1</v>
      </c>
      <c r="CL18" s="35" t="s">
        <v>2</v>
      </c>
      <c r="CM18" s="58" t="s">
        <v>3</v>
      </c>
      <c r="CN18" s="35" t="s">
        <v>4</v>
      </c>
      <c r="CO18" s="58" t="s">
        <v>12</v>
      </c>
      <c r="CP18" s="34" t="s">
        <v>0</v>
      </c>
      <c r="CQ18" s="58" t="s">
        <v>1</v>
      </c>
      <c r="CR18" s="35" t="s">
        <v>2</v>
      </c>
      <c r="CS18" s="58" t="s">
        <v>3</v>
      </c>
      <c r="CT18" s="35" t="s">
        <v>4</v>
      </c>
      <c r="CU18" s="58" t="s">
        <v>12</v>
      </c>
      <c r="CV18" s="34" t="s">
        <v>0</v>
      </c>
      <c r="CW18" s="58" t="s">
        <v>1</v>
      </c>
      <c r="CX18" s="35" t="s">
        <v>2</v>
      </c>
      <c r="CY18" s="58" t="s">
        <v>3</v>
      </c>
      <c r="CZ18" s="35" t="s">
        <v>4</v>
      </c>
      <c r="DA18" s="58" t="s">
        <v>12</v>
      </c>
      <c r="DB18" s="34" t="s">
        <v>0</v>
      </c>
      <c r="DC18" s="58" t="s">
        <v>1</v>
      </c>
      <c r="DD18" s="35" t="s">
        <v>2</v>
      </c>
      <c r="DE18" s="58" t="s">
        <v>3</v>
      </c>
      <c r="DF18" s="35" t="s">
        <v>4</v>
      </c>
      <c r="DG18" s="58" t="s">
        <v>12</v>
      </c>
      <c r="DH18" s="34" t="s">
        <v>0</v>
      </c>
      <c r="DI18" s="58" t="s">
        <v>1</v>
      </c>
      <c r="DJ18" s="35" t="s">
        <v>2</v>
      </c>
      <c r="DK18" s="58" t="s">
        <v>3</v>
      </c>
      <c r="DL18" s="35" t="s">
        <v>4</v>
      </c>
      <c r="DM18" s="58" t="s">
        <v>12</v>
      </c>
      <c r="DN18" s="34" t="s">
        <v>0</v>
      </c>
      <c r="DO18" s="58" t="s">
        <v>1</v>
      </c>
      <c r="DP18" s="35" t="s">
        <v>2</v>
      </c>
      <c r="DQ18" s="58" t="s">
        <v>3</v>
      </c>
      <c r="DR18" s="35" t="s">
        <v>4</v>
      </c>
      <c r="DS18" s="58" t="s">
        <v>12</v>
      </c>
      <c r="DT18" s="34" t="s">
        <v>0</v>
      </c>
      <c r="DU18" s="58" t="s">
        <v>1</v>
      </c>
      <c r="DV18" s="35" t="s">
        <v>2</v>
      </c>
      <c r="DW18" s="58" t="s">
        <v>3</v>
      </c>
      <c r="DX18" s="35" t="s">
        <v>4</v>
      </c>
      <c r="DY18" s="58" t="s">
        <v>12</v>
      </c>
      <c r="DZ18" s="34" t="s">
        <v>0</v>
      </c>
      <c r="EA18" s="58" t="s">
        <v>1</v>
      </c>
      <c r="EB18" s="35" t="s">
        <v>2</v>
      </c>
      <c r="EC18" s="58" t="s">
        <v>3</v>
      </c>
      <c r="ED18" s="35" t="s">
        <v>4</v>
      </c>
      <c r="EE18" s="58" t="s">
        <v>12</v>
      </c>
      <c r="EF18" s="11"/>
      <c r="EG18" s="15"/>
      <c r="EH18" s="12"/>
      <c r="EI18" s="16"/>
    </row>
    <row r="19" spans="1:139" ht="24" customHeight="1" x14ac:dyDescent="0.25">
      <c r="B19" s="219"/>
      <c r="C19" s="207"/>
      <c r="D19" s="88"/>
      <c r="E19" s="89"/>
      <c r="F19" s="89"/>
      <c r="G19" s="90"/>
      <c r="H19" s="91"/>
      <c r="I19" s="92"/>
      <c r="J19" s="88"/>
      <c r="K19" s="89"/>
      <c r="L19" s="89"/>
      <c r="M19" s="90"/>
      <c r="N19" s="91"/>
      <c r="O19" s="92"/>
      <c r="P19" s="88"/>
      <c r="Q19" s="89"/>
      <c r="R19" s="89"/>
      <c r="S19" s="90"/>
      <c r="T19" s="91"/>
      <c r="U19" s="92"/>
      <c r="V19" s="88"/>
      <c r="W19" s="89"/>
      <c r="X19" s="89"/>
      <c r="Y19" s="90"/>
      <c r="Z19" s="91"/>
      <c r="AA19" s="92"/>
      <c r="AB19" s="88"/>
      <c r="AC19" s="89"/>
      <c r="AD19" s="89"/>
      <c r="AE19" s="90"/>
      <c r="AF19" s="91"/>
      <c r="AG19" s="92"/>
      <c r="AH19" s="88"/>
      <c r="AI19" s="89"/>
      <c r="AJ19" s="89"/>
      <c r="AK19" s="90"/>
      <c r="AL19" s="91"/>
      <c r="AM19" s="92"/>
      <c r="AN19" s="88"/>
      <c r="AO19" s="89"/>
      <c r="AP19" s="89"/>
      <c r="AQ19" s="90"/>
      <c r="AR19" s="91"/>
      <c r="AS19" s="92"/>
      <c r="AT19" s="88"/>
      <c r="AU19" s="89"/>
      <c r="AV19" s="89"/>
      <c r="AW19" s="90"/>
      <c r="AX19" s="91"/>
      <c r="AY19" s="92"/>
      <c r="AZ19" s="88"/>
      <c r="BA19" s="89"/>
      <c r="BB19" s="89"/>
      <c r="BC19" s="90"/>
      <c r="BD19" s="91"/>
      <c r="BE19" s="92"/>
      <c r="BF19" s="88"/>
      <c r="BG19" s="89"/>
      <c r="BH19" s="89"/>
      <c r="BI19" s="90"/>
      <c r="BJ19" s="91"/>
      <c r="BK19" s="92"/>
      <c r="BL19" s="88"/>
      <c r="BM19" s="89"/>
      <c r="BN19" s="89"/>
      <c r="BO19" s="90"/>
      <c r="BP19" s="91"/>
      <c r="BQ19" s="92"/>
      <c r="BR19" s="88"/>
      <c r="BS19" s="89"/>
      <c r="BT19" s="89"/>
      <c r="BU19" s="90"/>
      <c r="BV19" s="91"/>
      <c r="BW19" s="92"/>
      <c r="BX19" s="88"/>
      <c r="BY19" s="89"/>
      <c r="BZ19" s="89"/>
      <c r="CA19" s="90"/>
      <c r="CB19" s="91"/>
      <c r="CC19" s="92"/>
      <c r="CD19" s="88"/>
      <c r="CE19" s="89"/>
      <c r="CF19" s="89"/>
      <c r="CG19" s="90"/>
      <c r="CH19" s="91"/>
      <c r="CI19" s="92"/>
      <c r="CJ19" s="88"/>
      <c r="CK19" s="89"/>
      <c r="CL19" s="89"/>
      <c r="CM19" s="90"/>
      <c r="CN19" s="91"/>
      <c r="CO19" s="92"/>
      <c r="CP19" s="88"/>
      <c r="CQ19" s="89"/>
      <c r="CR19" s="89"/>
      <c r="CS19" s="90"/>
      <c r="CT19" s="91"/>
      <c r="CU19" s="92"/>
      <c r="CV19" s="88"/>
      <c r="CW19" s="89"/>
      <c r="CX19" s="89"/>
      <c r="CY19" s="90"/>
      <c r="CZ19" s="91"/>
      <c r="DA19" s="92"/>
      <c r="DB19" s="88"/>
      <c r="DC19" s="89"/>
      <c r="DD19" s="89"/>
      <c r="DE19" s="90"/>
      <c r="DF19" s="91"/>
      <c r="DG19" s="92"/>
      <c r="DH19" s="88"/>
      <c r="DI19" s="89"/>
      <c r="DJ19" s="89"/>
      <c r="DK19" s="90"/>
      <c r="DL19" s="91"/>
      <c r="DM19" s="92"/>
      <c r="DN19" s="88"/>
      <c r="DO19" s="89"/>
      <c r="DP19" s="89"/>
      <c r="DQ19" s="90"/>
      <c r="DR19" s="91"/>
      <c r="DS19" s="92"/>
      <c r="DT19" s="88"/>
      <c r="DU19" s="89"/>
      <c r="DV19" s="89"/>
      <c r="DW19" s="90"/>
      <c r="DX19" s="91"/>
      <c r="DY19" s="92"/>
      <c r="DZ19" s="88"/>
      <c r="EA19" s="89"/>
      <c r="EB19" s="89"/>
      <c r="EC19" s="90"/>
      <c r="ED19" s="91"/>
      <c r="EE19" s="92"/>
      <c r="EF19" s="11"/>
      <c r="EG19" s="15"/>
      <c r="EH19" s="12"/>
      <c r="EI19" s="16"/>
    </row>
    <row r="20" spans="1:139" ht="24" customHeight="1" x14ac:dyDescent="0.25">
      <c r="B20" s="219"/>
      <c r="C20" s="207"/>
      <c r="D20" s="88"/>
      <c r="E20" s="89"/>
      <c r="F20" s="89"/>
      <c r="G20" s="90"/>
      <c r="H20" s="91"/>
      <c r="I20" s="92"/>
      <c r="J20" s="88"/>
      <c r="K20" s="89"/>
      <c r="L20" s="89"/>
      <c r="M20" s="90"/>
      <c r="N20" s="91"/>
      <c r="O20" s="92"/>
      <c r="P20" s="88"/>
      <c r="Q20" s="89"/>
      <c r="R20" s="89"/>
      <c r="S20" s="90"/>
      <c r="T20" s="91"/>
      <c r="U20" s="92"/>
      <c r="V20" s="88"/>
      <c r="W20" s="89"/>
      <c r="X20" s="89"/>
      <c r="Y20" s="90"/>
      <c r="Z20" s="91"/>
      <c r="AA20" s="92"/>
      <c r="AB20" s="88"/>
      <c r="AC20" s="89"/>
      <c r="AD20" s="89"/>
      <c r="AE20" s="90"/>
      <c r="AF20" s="91"/>
      <c r="AG20" s="92"/>
      <c r="AH20" s="88"/>
      <c r="AI20" s="89"/>
      <c r="AJ20" s="89"/>
      <c r="AK20" s="90"/>
      <c r="AL20" s="91"/>
      <c r="AM20" s="92"/>
      <c r="AN20" s="88"/>
      <c r="AO20" s="89"/>
      <c r="AP20" s="89"/>
      <c r="AQ20" s="90"/>
      <c r="AR20" s="91"/>
      <c r="AS20" s="92"/>
      <c r="AT20" s="88"/>
      <c r="AU20" s="89"/>
      <c r="AV20" s="89"/>
      <c r="AW20" s="90"/>
      <c r="AX20" s="91"/>
      <c r="AY20" s="92"/>
      <c r="AZ20" s="88"/>
      <c r="BA20" s="89"/>
      <c r="BB20" s="89"/>
      <c r="BC20" s="90"/>
      <c r="BD20" s="91"/>
      <c r="BE20" s="92"/>
      <c r="BF20" s="88"/>
      <c r="BG20" s="89"/>
      <c r="BH20" s="89"/>
      <c r="BI20" s="90"/>
      <c r="BJ20" s="91"/>
      <c r="BK20" s="92"/>
      <c r="BL20" s="88"/>
      <c r="BM20" s="89"/>
      <c r="BN20" s="89"/>
      <c r="BO20" s="90"/>
      <c r="BP20" s="91"/>
      <c r="BQ20" s="92"/>
      <c r="BR20" s="88"/>
      <c r="BS20" s="89"/>
      <c r="BT20" s="89"/>
      <c r="BU20" s="90"/>
      <c r="BV20" s="91"/>
      <c r="BW20" s="92"/>
      <c r="BX20" s="88"/>
      <c r="BY20" s="89"/>
      <c r="BZ20" s="89"/>
      <c r="CA20" s="90"/>
      <c r="CB20" s="91"/>
      <c r="CC20" s="92"/>
      <c r="CD20" s="88"/>
      <c r="CE20" s="89"/>
      <c r="CF20" s="89"/>
      <c r="CG20" s="90"/>
      <c r="CH20" s="91"/>
      <c r="CI20" s="92"/>
      <c r="CJ20" s="88"/>
      <c r="CK20" s="89"/>
      <c r="CL20" s="89"/>
      <c r="CM20" s="90"/>
      <c r="CN20" s="91"/>
      <c r="CO20" s="92"/>
      <c r="CP20" s="88"/>
      <c r="CQ20" s="89"/>
      <c r="CR20" s="89"/>
      <c r="CS20" s="90"/>
      <c r="CT20" s="91"/>
      <c r="CU20" s="92"/>
      <c r="CV20" s="88"/>
      <c r="CW20" s="89"/>
      <c r="CX20" s="89"/>
      <c r="CY20" s="90"/>
      <c r="CZ20" s="91"/>
      <c r="DA20" s="92"/>
      <c r="DB20" s="88"/>
      <c r="DC20" s="89"/>
      <c r="DD20" s="89"/>
      <c r="DE20" s="90"/>
      <c r="DF20" s="91"/>
      <c r="DG20" s="92"/>
      <c r="DH20" s="88"/>
      <c r="DI20" s="89"/>
      <c r="DJ20" s="89"/>
      <c r="DK20" s="90"/>
      <c r="DL20" s="91"/>
      <c r="DM20" s="92"/>
      <c r="DN20" s="88"/>
      <c r="DO20" s="89"/>
      <c r="DP20" s="89"/>
      <c r="DQ20" s="90"/>
      <c r="DR20" s="91"/>
      <c r="DS20" s="92"/>
      <c r="DT20" s="88"/>
      <c r="DU20" s="89"/>
      <c r="DV20" s="89"/>
      <c r="DW20" s="90"/>
      <c r="DX20" s="91"/>
      <c r="DY20" s="92"/>
      <c r="DZ20" s="88"/>
      <c r="EA20" s="89"/>
      <c r="EB20" s="89"/>
      <c r="EC20" s="90"/>
      <c r="ED20" s="91"/>
      <c r="EE20" s="92"/>
      <c r="EF20" s="11"/>
      <c r="EG20" s="15"/>
      <c r="EH20" s="12"/>
      <c r="EI20" s="16"/>
    </row>
    <row r="21" spans="1:139" ht="24" customHeight="1" x14ac:dyDescent="0.25">
      <c r="B21" s="219"/>
      <c r="C21" s="207"/>
      <c r="D21" s="88"/>
      <c r="E21" s="89"/>
      <c r="F21" s="89"/>
      <c r="G21" s="90"/>
      <c r="H21" s="91"/>
      <c r="I21" s="92"/>
      <c r="J21" s="88"/>
      <c r="K21" s="89"/>
      <c r="L21" s="89"/>
      <c r="M21" s="90"/>
      <c r="N21" s="91"/>
      <c r="O21" s="92"/>
      <c r="P21" s="88"/>
      <c r="Q21" s="89"/>
      <c r="R21" s="89"/>
      <c r="S21" s="90"/>
      <c r="T21" s="91"/>
      <c r="U21" s="92"/>
      <c r="V21" s="88"/>
      <c r="W21" s="89"/>
      <c r="X21" s="89"/>
      <c r="Y21" s="90"/>
      <c r="Z21" s="91"/>
      <c r="AA21" s="92"/>
      <c r="AB21" s="88"/>
      <c r="AC21" s="89"/>
      <c r="AD21" s="89"/>
      <c r="AE21" s="90"/>
      <c r="AF21" s="91"/>
      <c r="AG21" s="92"/>
      <c r="AH21" s="88"/>
      <c r="AI21" s="89"/>
      <c r="AJ21" s="89"/>
      <c r="AK21" s="90"/>
      <c r="AL21" s="91"/>
      <c r="AM21" s="92"/>
      <c r="AN21" s="88"/>
      <c r="AO21" s="89"/>
      <c r="AP21" s="89"/>
      <c r="AQ21" s="90"/>
      <c r="AR21" s="91"/>
      <c r="AS21" s="92"/>
      <c r="AT21" s="88"/>
      <c r="AU21" s="89"/>
      <c r="AV21" s="89"/>
      <c r="AW21" s="90"/>
      <c r="AX21" s="91"/>
      <c r="AY21" s="92"/>
      <c r="AZ21" s="88"/>
      <c r="BA21" s="89"/>
      <c r="BB21" s="89"/>
      <c r="BC21" s="90"/>
      <c r="BD21" s="91"/>
      <c r="BE21" s="92"/>
      <c r="BF21" s="88"/>
      <c r="BG21" s="89"/>
      <c r="BH21" s="89"/>
      <c r="BI21" s="90"/>
      <c r="BJ21" s="91"/>
      <c r="BK21" s="92"/>
      <c r="BL21" s="88"/>
      <c r="BM21" s="89"/>
      <c r="BN21" s="89"/>
      <c r="BO21" s="90"/>
      <c r="BP21" s="91"/>
      <c r="BQ21" s="92"/>
      <c r="BR21" s="88"/>
      <c r="BS21" s="89"/>
      <c r="BT21" s="89"/>
      <c r="BU21" s="90"/>
      <c r="BV21" s="91"/>
      <c r="BW21" s="92"/>
      <c r="BX21" s="88"/>
      <c r="BY21" s="89"/>
      <c r="BZ21" s="89"/>
      <c r="CA21" s="90"/>
      <c r="CB21" s="91"/>
      <c r="CC21" s="92"/>
      <c r="CD21" s="88"/>
      <c r="CE21" s="89"/>
      <c r="CF21" s="89"/>
      <c r="CG21" s="90"/>
      <c r="CH21" s="91"/>
      <c r="CI21" s="92"/>
      <c r="CJ21" s="88"/>
      <c r="CK21" s="89"/>
      <c r="CL21" s="89"/>
      <c r="CM21" s="90"/>
      <c r="CN21" s="91"/>
      <c r="CO21" s="92"/>
      <c r="CP21" s="88"/>
      <c r="CQ21" s="89"/>
      <c r="CR21" s="89"/>
      <c r="CS21" s="90"/>
      <c r="CT21" s="91"/>
      <c r="CU21" s="92"/>
      <c r="CV21" s="88"/>
      <c r="CW21" s="89"/>
      <c r="CX21" s="89"/>
      <c r="CY21" s="90"/>
      <c r="CZ21" s="91"/>
      <c r="DA21" s="92"/>
      <c r="DB21" s="88"/>
      <c r="DC21" s="89"/>
      <c r="DD21" s="89"/>
      <c r="DE21" s="90"/>
      <c r="DF21" s="91"/>
      <c r="DG21" s="92"/>
      <c r="DH21" s="88"/>
      <c r="DI21" s="89"/>
      <c r="DJ21" s="89"/>
      <c r="DK21" s="90"/>
      <c r="DL21" s="91"/>
      <c r="DM21" s="92"/>
      <c r="DN21" s="88"/>
      <c r="DO21" s="89"/>
      <c r="DP21" s="89"/>
      <c r="DQ21" s="90"/>
      <c r="DR21" s="91"/>
      <c r="DS21" s="92"/>
      <c r="DT21" s="88"/>
      <c r="DU21" s="89"/>
      <c r="DV21" s="89"/>
      <c r="DW21" s="90"/>
      <c r="DX21" s="91"/>
      <c r="DY21" s="92"/>
      <c r="DZ21" s="88"/>
      <c r="EA21" s="89"/>
      <c r="EB21" s="89"/>
      <c r="EC21" s="90"/>
      <c r="ED21" s="91"/>
      <c r="EE21" s="92"/>
      <c r="EF21" s="11"/>
      <c r="EG21" s="15"/>
      <c r="EH21" s="12"/>
      <c r="EI21" s="16"/>
    </row>
    <row r="22" spans="1:139" ht="24" customHeight="1" x14ac:dyDescent="0.25">
      <c r="B22" s="219"/>
      <c r="C22" s="207"/>
      <c r="D22" s="88"/>
      <c r="E22" s="89"/>
      <c r="F22" s="89"/>
      <c r="G22" s="90"/>
      <c r="H22" s="91"/>
      <c r="I22" s="92"/>
      <c r="J22" s="88"/>
      <c r="K22" s="89"/>
      <c r="L22" s="89"/>
      <c r="M22" s="90"/>
      <c r="N22" s="91"/>
      <c r="O22" s="92"/>
      <c r="P22" s="88"/>
      <c r="Q22" s="89"/>
      <c r="R22" s="89"/>
      <c r="S22" s="90"/>
      <c r="T22" s="91"/>
      <c r="U22" s="92"/>
      <c r="V22" s="88"/>
      <c r="W22" s="89"/>
      <c r="X22" s="89"/>
      <c r="Y22" s="90"/>
      <c r="Z22" s="91"/>
      <c r="AA22" s="92"/>
      <c r="AB22" s="88"/>
      <c r="AC22" s="89"/>
      <c r="AD22" s="89"/>
      <c r="AE22" s="90"/>
      <c r="AF22" s="91"/>
      <c r="AG22" s="92"/>
      <c r="AH22" s="88"/>
      <c r="AI22" s="89"/>
      <c r="AJ22" s="89"/>
      <c r="AK22" s="90"/>
      <c r="AL22" s="91"/>
      <c r="AM22" s="92"/>
      <c r="AN22" s="88"/>
      <c r="AO22" s="89"/>
      <c r="AP22" s="89"/>
      <c r="AQ22" s="90"/>
      <c r="AR22" s="91"/>
      <c r="AS22" s="92"/>
      <c r="AT22" s="88"/>
      <c r="AU22" s="89"/>
      <c r="AV22" s="89"/>
      <c r="AW22" s="90"/>
      <c r="AX22" s="91"/>
      <c r="AY22" s="92"/>
      <c r="AZ22" s="88"/>
      <c r="BA22" s="89"/>
      <c r="BB22" s="89"/>
      <c r="BC22" s="90"/>
      <c r="BD22" s="91"/>
      <c r="BE22" s="92"/>
      <c r="BF22" s="88"/>
      <c r="BG22" s="89"/>
      <c r="BH22" s="89"/>
      <c r="BI22" s="90"/>
      <c r="BJ22" s="91"/>
      <c r="BK22" s="92"/>
      <c r="BL22" s="88"/>
      <c r="BM22" s="89"/>
      <c r="BN22" s="89"/>
      <c r="BO22" s="90"/>
      <c r="BP22" s="91"/>
      <c r="BQ22" s="92"/>
      <c r="BR22" s="88"/>
      <c r="BS22" s="89"/>
      <c r="BT22" s="89"/>
      <c r="BU22" s="90"/>
      <c r="BV22" s="91"/>
      <c r="BW22" s="92"/>
      <c r="BX22" s="88"/>
      <c r="BY22" s="89"/>
      <c r="BZ22" s="89"/>
      <c r="CA22" s="90"/>
      <c r="CB22" s="91"/>
      <c r="CC22" s="92"/>
      <c r="CD22" s="88"/>
      <c r="CE22" s="89"/>
      <c r="CF22" s="89"/>
      <c r="CG22" s="90"/>
      <c r="CH22" s="91"/>
      <c r="CI22" s="92"/>
      <c r="CJ22" s="88"/>
      <c r="CK22" s="89"/>
      <c r="CL22" s="89"/>
      <c r="CM22" s="90"/>
      <c r="CN22" s="91"/>
      <c r="CO22" s="92"/>
      <c r="CP22" s="88"/>
      <c r="CQ22" s="89"/>
      <c r="CR22" s="89"/>
      <c r="CS22" s="90"/>
      <c r="CT22" s="91"/>
      <c r="CU22" s="92"/>
      <c r="CV22" s="88"/>
      <c r="CW22" s="89"/>
      <c r="CX22" s="89"/>
      <c r="CY22" s="90"/>
      <c r="CZ22" s="91"/>
      <c r="DA22" s="92"/>
      <c r="DB22" s="88"/>
      <c r="DC22" s="89"/>
      <c r="DD22" s="89"/>
      <c r="DE22" s="90"/>
      <c r="DF22" s="91"/>
      <c r="DG22" s="92"/>
      <c r="DH22" s="88"/>
      <c r="DI22" s="89"/>
      <c r="DJ22" s="89"/>
      <c r="DK22" s="90"/>
      <c r="DL22" s="91"/>
      <c r="DM22" s="92"/>
      <c r="DN22" s="88"/>
      <c r="DO22" s="89"/>
      <c r="DP22" s="89"/>
      <c r="DQ22" s="90"/>
      <c r="DR22" s="91"/>
      <c r="DS22" s="92"/>
      <c r="DT22" s="88"/>
      <c r="DU22" s="89"/>
      <c r="DV22" s="89"/>
      <c r="DW22" s="90"/>
      <c r="DX22" s="91"/>
      <c r="DY22" s="92"/>
      <c r="DZ22" s="88"/>
      <c r="EA22" s="89"/>
      <c r="EB22" s="89"/>
      <c r="EC22" s="90"/>
      <c r="ED22" s="91"/>
      <c r="EE22" s="92"/>
      <c r="EF22" s="11"/>
      <c r="EG22" s="15"/>
      <c r="EH22" s="12"/>
      <c r="EI22" s="16"/>
    </row>
    <row r="23" spans="1:139" ht="24" customHeight="1" x14ac:dyDescent="0.25">
      <c r="B23" s="219"/>
      <c r="C23" s="207"/>
      <c r="D23" s="88"/>
      <c r="E23" s="89"/>
      <c r="F23" s="89"/>
      <c r="G23" s="90"/>
      <c r="H23" s="91"/>
      <c r="I23" s="92"/>
      <c r="J23" s="88"/>
      <c r="K23" s="89"/>
      <c r="L23" s="89"/>
      <c r="M23" s="90"/>
      <c r="N23" s="91"/>
      <c r="O23" s="92"/>
      <c r="P23" s="88"/>
      <c r="Q23" s="89"/>
      <c r="R23" s="89"/>
      <c r="S23" s="90"/>
      <c r="T23" s="91"/>
      <c r="U23" s="92"/>
      <c r="V23" s="88"/>
      <c r="W23" s="89"/>
      <c r="X23" s="89"/>
      <c r="Y23" s="90"/>
      <c r="Z23" s="91"/>
      <c r="AA23" s="92"/>
      <c r="AB23" s="88"/>
      <c r="AC23" s="89"/>
      <c r="AD23" s="89"/>
      <c r="AE23" s="90"/>
      <c r="AF23" s="91"/>
      <c r="AG23" s="92"/>
      <c r="AH23" s="88"/>
      <c r="AI23" s="89"/>
      <c r="AJ23" s="89"/>
      <c r="AK23" s="90"/>
      <c r="AL23" s="91"/>
      <c r="AM23" s="92"/>
      <c r="AN23" s="88"/>
      <c r="AO23" s="89"/>
      <c r="AP23" s="89"/>
      <c r="AQ23" s="90"/>
      <c r="AR23" s="91"/>
      <c r="AS23" s="92"/>
      <c r="AT23" s="88"/>
      <c r="AU23" s="89"/>
      <c r="AV23" s="89"/>
      <c r="AW23" s="90"/>
      <c r="AX23" s="91"/>
      <c r="AY23" s="92"/>
      <c r="AZ23" s="88"/>
      <c r="BA23" s="89"/>
      <c r="BB23" s="89"/>
      <c r="BC23" s="90"/>
      <c r="BD23" s="91"/>
      <c r="BE23" s="92"/>
      <c r="BF23" s="88"/>
      <c r="BG23" s="89"/>
      <c r="BH23" s="89"/>
      <c r="BI23" s="90"/>
      <c r="BJ23" s="91"/>
      <c r="BK23" s="92"/>
      <c r="BL23" s="88"/>
      <c r="BM23" s="89"/>
      <c r="BN23" s="89"/>
      <c r="BO23" s="90"/>
      <c r="BP23" s="91"/>
      <c r="BQ23" s="92"/>
      <c r="BR23" s="88"/>
      <c r="BS23" s="89"/>
      <c r="BT23" s="89"/>
      <c r="BU23" s="90"/>
      <c r="BV23" s="91"/>
      <c r="BW23" s="92"/>
      <c r="BX23" s="88"/>
      <c r="BY23" s="89"/>
      <c r="BZ23" s="89"/>
      <c r="CA23" s="90"/>
      <c r="CB23" s="91"/>
      <c r="CC23" s="92"/>
      <c r="CD23" s="88"/>
      <c r="CE23" s="89"/>
      <c r="CF23" s="89"/>
      <c r="CG23" s="90"/>
      <c r="CH23" s="91"/>
      <c r="CI23" s="92"/>
      <c r="CJ23" s="88"/>
      <c r="CK23" s="89"/>
      <c r="CL23" s="89"/>
      <c r="CM23" s="90"/>
      <c r="CN23" s="91"/>
      <c r="CO23" s="92"/>
      <c r="CP23" s="88"/>
      <c r="CQ23" s="89"/>
      <c r="CR23" s="89"/>
      <c r="CS23" s="90"/>
      <c r="CT23" s="91"/>
      <c r="CU23" s="92"/>
      <c r="CV23" s="88"/>
      <c r="CW23" s="89"/>
      <c r="CX23" s="89"/>
      <c r="CY23" s="90"/>
      <c r="CZ23" s="91"/>
      <c r="DA23" s="92"/>
      <c r="DB23" s="88"/>
      <c r="DC23" s="89"/>
      <c r="DD23" s="89"/>
      <c r="DE23" s="90"/>
      <c r="DF23" s="91"/>
      <c r="DG23" s="92"/>
      <c r="DH23" s="88"/>
      <c r="DI23" s="89"/>
      <c r="DJ23" s="89"/>
      <c r="DK23" s="90"/>
      <c r="DL23" s="91"/>
      <c r="DM23" s="92"/>
      <c r="DN23" s="88"/>
      <c r="DO23" s="89"/>
      <c r="DP23" s="89"/>
      <c r="DQ23" s="90"/>
      <c r="DR23" s="91"/>
      <c r="DS23" s="92"/>
      <c r="DT23" s="88"/>
      <c r="DU23" s="89"/>
      <c r="DV23" s="89"/>
      <c r="DW23" s="90"/>
      <c r="DX23" s="91"/>
      <c r="DY23" s="92"/>
      <c r="DZ23" s="88"/>
      <c r="EA23" s="89"/>
      <c r="EB23" s="89"/>
      <c r="EC23" s="90"/>
      <c r="ED23" s="91"/>
      <c r="EE23" s="92"/>
      <c r="EF23" s="11"/>
      <c r="EG23" s="15"/>
      <c r="EH23" s="12"/>
      <c r="EI23" s="16"/>
    </row>
    <row r="24" spans="1:139" ht="24" customHeight="1" x14ac:dyDescent="0.25">
      <c r="B24" s="219"/>
      <c r="C24" s="207"/>
      <c r="D24" s="88"/>
      <c r="E24" s="89"/>
      <c r="F24" s="89"/>
      <c r="G24" s="90"/>
      <c r="H24" s="91"/>
      <c r="I24" s="92"/>
      <c r="J24" s="88"/>
      <c r="K24" s="89"/>
      <c r="L24" s="89"/>
      <c r="M24" s="90"/>
      <c r="N24" s="91"/>
      <c r="O24" s="92"/>
      <c r="P24" s="88"/>
      <c r="Q24" s="89"/>
      <c r="R24" s="89"/>
      <c r="S24" s="90"/>
      <c r="T24" s="91"/>
      <c r="U24" s="92"/>
      <c r="V24" s="88"/>
      <c r="W24" s="89"/>
      <c r="X24" s="89"/>
      <c r="Y24" s="90"/>
      <c r="Z24" s="91"/>
      <c r="AA24" s="92"/>
      <c r="AB24" s="88"/>
      <c r="AC24" s="89"/>
      <c r="AD24" s="89"/>
      <c r="AE24" s="90"/>
      <c r="AF24" s="91"/>
      <c r="AG24" s="92"/>
      <c r="AH24" s="88"/>
      <c r="AI24" s="89"/>
      <c r="AJ24" s="89"/>
      <c r="AK24" s="90"/>
      <c r="AL24" s="91"/>
      <c r="AM24" s="92"/>
      <c r="AN24" s="88"/>
      <c r="AO24" s="89"/>
      <c r="AP24" s="89"/>
      <c r="AQ24" s="90"/>
      <c r="AR24" s="91"/>
      <c r="AS24" s="92"/>
      <c r="AT24" s="88"/>
      <c r="AU24" s="89"/>
      <c r="AV24" s="89"/>
      <c r="AW24" s="90"/>
      <c r="AX24" s="91"/>
      <c r="AY24" s="92"/>
      <c r="AZ24" s="88"/>
      <c r="BA24" s="89"/>
      <c r="BB24" s="89"/>
      <c r="BC24" s="90"/>
      <c r="BD24" s="91"/>
      <c r="BE24" s="92"/>
      <c r="BF24" s="88"/>
      <c r="BG24" s="89"/>
      <c r="BH24" s="89"/>
      <c r="BI24" s="90"/>
      <c r="BJ24" s="91"/>
      <c r="BK24" s="92"/>
      <c r="BL24" s="88"/>
      <c r="BM24" s="89"/>
      <c r="BN24" s="89"/>
      <c r="BO24" s="90"/>
      <c r="BP24" s="91"/>
      <c r="BQ24" s="92"/>
      <c r="BR24" s="88"/>
      <c r="BS24" s="89"/>
      <c r="BT24" s="89"/>
      <c r="BU24" s="90"/>
      <c r="BV24" s="91"/>
      <c r="BW24" s="92"/>
      <c r="BX24" s="88"/>
      <c r="BY24" s="89"/>
      <c r="BZ24" s="89"/>
      <c r="CA24" s="90"/>
      <c r="CB24" s="91"/>
      <c r="CC24" s="92"/>
      <c r="CD24" s="88"/>
      <c r="CE24" s="89"/>
      <c r="CF24" s="89"/>
      <c r="CG24" s="90"/>
      <c r="CH24" s="91"/>
      <c r="CI24" s="92"/>
      <c r="CJ24" s="88"/>
      <c r="CK24" s="89"/>
      <c r="CL24" s="89"/>
      <c r="CM24" s="90"/>
      <c r="CN24" s="91"/>
      <c r="CO24" s="92"/>
      <c r="CP24" s="88"/>
      <c r="CQ24" s="89"/>
      <c r="CR24" s="89"/>
      <c r="CS24" s="90"/>
      <c r="CT24" s="91"/>
      <c r="CU24" s="92"/>
      <c r="CV24" s="88"/>
      <c r="CW24" s="89"/>
      <c r="CX24" s="89"/>
      <c r="CY24" s="90"/>
      <c r="CZ24" s="91"/>
      <c r="DA24" s="92"/>
      <c r="DB24" s="88"/>
      <c r="DC24" s="89"/>
      <c r="DD24" s="89"/>
      <c r="DE24" s="90"/>
      <c r="DF24" s="91"/>
      <c r="DG24" s="92"/>
      <c r="DH24" s="88"/>
      <c r="DI24" s="89"/>
      <c r="DJ24" s="89"/>
      <c r="DK24" s="90"/>
      <c r="DL24" s="91"/>
      <c r="DM24" s="92"/>
      <c r="DN24" s="88"/>
      <c r="DO24" s="89"/>
      <c r="DP24" s="89"/>
      <c r="DQ24" s="90"/>
      <c r="DR24" s="91"/>
      <c r="DS24" s="92"/>
      <c r="DT24" s="88"/>
      <c r="DU24" s="89"/>
      <c r="DV24" s="89"/>
      <c r="DW24" s="90"/>
      <c r="DX24" s="91"/>
      <c r="DY24" s="92"/>
      <c r="DZ24" s="88"/>
      <c r="EA24" s="89"/>
      <c r="EB24" s="89"/>
      <c r="EC24" s="90"/>
      <c r="ED24" s="91"/>
      <c r="EE24" s="92"/>
      <c r="EF24" s="11"/>
      <c r="EG24" s="15"/>
      <c r="EH24" s="12"/>
      <c r="EI24" s="16"/>
    </row>
    <row r="25" spans="1:139" ht="24" customHeight="1" x14ac:dyDescent="0.25">
      <c r="B25" s="219"/>
      <c r="C25" s="207"/>
      <c r="D25" s="88"/>
      <c r="E25" s="89"/>
      <c r="F25" s="89"/>
      <c r="G25" s="90"/>
      <c r="H25" s="91"/>
      <c r="I25" s="92"/>
      <c r="J25" s="88"/>
      <c r="K25" s="89"/>
      <c r="L25" s="89"/>
      <c r="M25" s="90"/>
      <c r="N25" s="91"/>
      <c r="O25" s="92"/>
      <c r="P25" s="88"/>
      <c r="Q25" s="89"/>
      <c r="R25" s="89"/>
      <c r="S25" s="90"/>
      <c r="T25" s="91"/>
      <c r="U25" s="92"/>
      <c r="V25" s="88"/>
      <c r="W25" s="89"/>
      <c r="X25" s="89"/>
      <c r="Y25" s="90"/>
      <c r="Z25" s="91"/>
      <c r="AA25" s="92"/>
      <c r="AB25" s="88"/>
      <c r="AC25" s="89"/>
      <c r="AD25" s="89"/>
      <c r="AE25" s="90"/>
      <c r="AF25" s="91"/>
      <c r="AG25" s="92"/>
      <c r="AH25" s="88"/>
      <c r="AI25" s="89"/>
      <c r="AJ25" s="89"/>
      <c r="AK25" s="90"/>
      <c r="AL25" s="91"/>
      <c r="AM25" s="92"/>
      <c r="AN25" s="88"/>
      <c r="AO25" s="89"/>
      <c r="AP25" s="89"/>
      <c r="AQ25" s="90"/>
      <c r="AR25" s="91"/>
      <c r="AS25" s="92"/>
      <c r="AT25" s="88"/>
      <c r="AU25" s="89"/>
      <c r="AV25" s="89"/>
      <c r="AW25" s="90"/>
      <c r="AX25" s="91"/>
      <c r="AY25" s="92"/>
      <c r="AZ25" s="88"/>
      <c r="BA25" s="89"/>
      <c r="BB25" s="89"/>
      <c r="BC25" s="90"/>
      <c r="BD25" s="91"/>
      <c r="BE25" s="92"/>
      <c r="BF25" s="88"/>
      <c r="BG25" s="89"/>
      <c r="BH25" s="89"/>
      <c r="BI25" s="90"/>
      <c r="BJ25" s="91"/>
      <c r="BK25" s="92"/>
      <c r="BL25" s="88"/>
      <c r="BM25" s="89"/>
      <c r="BN25" s="89"/>
      <c r="BO25" s="90"/>
      <c r="BP25" s="91"/>
      <c r="BQ25" s="92"/>
      <c r="BR25" s="88"/>
      <c r="BS25" s="89"/>
      <c r="BT25" s="89"/>
      <c r="BU25" s="90"/>
      <c r="BV25" s="91"/>
      <c r="BW25" s="92"/>
      <c r="BX25" s="88"/>
      <c r="BY25" s="89"/>
      <c r="BZ25" s="89"/>
      <c r="CA25" s="90"/>
      <c r="CB25" s="91"/>
      <c r="CC25" s="92"/>
      <c r="CD25" s="88"/>
      <c r="CE25" s="89"/>
      <c r="CF25" s="89"/>
      <c r="CG25" s="90"/>
      <c r="CH25" s="91"/>
      <c r="CI25" s="92"/>
      <c r="CJ25" s="88"/>
      <c r="CK25" s="89"/>
      <c r="CL25" s="89"/>
      <c r="CM25" s="90"/>
      <c r="CN25" s="91"/>
      <c r="CO25" s="92"/>
      <c r="CP25" s="88"/>
      <c r="CQ25" s="89"/>
      <c r="CR25" s="89"/>
      <c r="CS25" s="90"/>
      <c r="CT25" s="91"/>
      <c r="CU25" s="92"/>
      <c r="CV25" s="88"/>
      <c r="CW25" s="89"/>
      <c r="CX25" s="89"/>
      <c r="CY25" s="90"/>
      <c r="CZ25" s="91"/>
      <c r="DA25" s="92"/>
      <c r="DB25" s="88"/>
      <c r="DC25" s="89"/>
      <c r="DD25" s="89"/>
      <c r="DE25" s="90"/>
      <c r="DF25" s="91"/>
      <c r="DG25" s="92"/>
      <c r="DH25" s="88"/>
      <c r="DI25" s="89"/>
      <c r="DJ25" s="89"/>
      <c r="DK25" s="90"/>
      <c r="DL25" s="91"/>
      <c r="DM25" s="92"/>
      <c r="DN25" s="88"/>
      <c r="DO25" s="89"/>
      <c r="DP25" s="89"/>
      <c r="DQ25" s="90"/>
      <c r="DR25" s="91"/>
      <c r="DS25" s="92"/>
      <c r="DT25" s="88"/>
      <c r="DU25" s="89"/>
      <c r="DV25" s="89"/>
      <c r="DW25" s="90"/>
      <c r="DX25" s="91"/>
      <c r="DY25" s="92"/>
      <c r="DZ25" s="88"/>
      <c r="EA25" s="89"/>
      <c r="EB25" s="89"/>
      <c r="EC25" s="90"/>
      <c r="ED25" s="91"/>
      <c r="EE25" s="92"/>
      <c r="EF25" s="11"/>
      <c r="EG25" s="15"/>
      <c r="EH25" s="12"/>
      <c r="EI25" s="16"/>
    </row>
    <row r="26" spans="1:139" ht="24" customHeight="1" thickBot="1" x14ac:dyDescent="0.3">
      <c r="B26" s="219"/>
      <c r="C26" s="207"/>
      <c r="D26" s="88"/>
      <c r="E26" s="89"/>
      <c r="F26" s="89"/>
      <c r="G26" s="90"/>
      <c r="H26" s="91"/>
      <c r="I26" s="92"/>
      <c r="J26" s="88"/>
      <c r="K26" s="89"/>
      <c r="L26" s="89"/>
      <c r="M26" s="90"/>
      <c r="N26" s="91"/>
      <c r="O26" s="92"/>
      <c r="P26" s="88"/>
      <c r="Q26" s="89"/>
      <c r="R26" s="89"/>
      <c r="S26" s="90"/>
      <c r="T26" s="91"/>
      <c r="U26" s="92"/>
      <c r="V26" s="88"/>
      <c r="W26" s="89"/>
      <c r="X26" s="89"/>
      <c r="Y26" s="90"/>
      <c r="Z26" s="91"/>
      <c r="AA26" s="92"/>
      <c r="AB26" s="88"/>
      <c r="AC26" s="89"/>
      <c r="AD26" s="89"/>
      <c r="AE26" s="90"/>
      <c r="AF26" s="91"/>
      <c r="AG26" s="92"/>
      <c r="AH26" s="88"/>
      <c r="AI26" s="89"/>
      <c r="AJ26" s="89"/>
      <c r="AK26" s="90"/>
      <c r="AL26" s="91"/>
      <c r="AM26" s="92"/>
      <c r="AN26" s="88"/>
      <c r="AO26" s="89"/>
      <c r="AP26" s="89"/>
      <c r="AQ26" s="90"/>
      <c r="AR26" s="91"/>
      <c r="AS26" s="92"/>
      <c r="AT26" s="88"/>
      <c r="AU26" s="89"/>
      <c r="AV26" s="89"/>
      <c r="AW26" s="90"/>
      <c r="AX26" s="91"/>
      <c r="AY26" s="92"/>
      <c r="AZ26" s="88"/>
      <c r="BA26" s="89"/>
      <c r="BB26" s="89"/>
      <c r="BC26" s="90"/>
      <c r="BD26" s="91"/>
      <c r="BE26" s="92"/>
      <c r="BF26" s="88"/>
      <c r="BG26" s="89"/>
      <c r="BH26" s="89"/>
      <c r="BI26" s="90"/>
      <c r="BJ26" s="91"/>
      <c r="BK26" s="92"/>
      <c r="BL26" s="88"/>
      <c r="BM26" s="89"/>
      <c r="BN26" s="89"/>
      <c r="BO26" s="90"/>
      <c r="BP26" s="91"/>
      <c r="BQ26" s="92"/>
      <c r="BR26" s="88"/>
      <c r="BS26" s="89"/>
      <c r="BT26" s="89"/>
      <c r="BU26" s="90"/>
      <c r="BV26" s="91"/>
      <c r="BW26" s="92"/>
      <c r="BX26" s="88"/>
      <c r="BY26" s="89"/>
      <c r="BZ26" s="89"/>
      <c r="CA26" s="90"/>
      <c r="CB26" s="91"/>
      <c r="CC26" s="92"/>
      <c r="CD26" s="88"/>
      <c r="CE26" s="89"/>
      <c r="CF26" s="89"/>
      <c r="CG26" s="90"/>
      <c r="CH26" s="91"/>
      <c r="CI26" s="92"/>
      <c r="CJ26" s="88"/>
      <c r="CK26" s="89"/>
      <c r="CL26" s="89"/>
      <c r="CM26" s="90"/>
      <c r="CN26" s="91"/>
      <c r="CO26" s="92"/>
      <c r="CP26" s="88"/>
      <c r="CQ26" s="89"/>
      <c r="CR26" s="89"/>
      <c r="CS26" s="90"/>
      <c r="CT26" s="91"/>
      <c r="CU26" s="92"/>
      <c r="CV26" s="88"/>
      <c r="CW26" s="89"/>
      <c r="CX26" s="89"/>
      <c r="CY26" s="90"/>
      <c r="CZ26" s="91"/>
      <c r="DA26" s="92"/>
      <c r="DB26" s="88"/>
      <c r="DC26" s="89"/>
      <c r="DD26" s="89"/>
      <c r="DE26" s="90"/>
      <c r="DF26" s="91"/>
      <c r="DG26" s="92"/>
      <c r="DH26" s="88"/>
      <c r="DI26" s="89"/>
      <c r="DJ26" s="89"/>
      <c r="DK26" s="90"/>
      <c r="DL26" s="91"/>
      <c r="DM26" s="92"/>
      <c r="DN26" s="88"/>
      <c r="DO26" s="89"/>
      <c r="DP26" s="89"/>
      <c r="DQ26" s="90"/>
      <c r="DR26" s="91"/>
      <c r="DS26" s="92"/>
      <c r="DT26" s="88"/>
      <c r="DU26" s="89"/>
      <c r="DV26" s="89"/>
      <c r="DW26" s="90"/>
      <c r="DX26" s="91"/>
      <c r="DY26" s="92"/>
      <c r="DZ26" s="88"/>
      <c r="EA26" s="89"/>
      <c r="EB26" s="89"/>
      <c r="EC26" s="90"/>
      <c r="ED26" s="91"/>
      <c r="EE26" s="92"/>
      <c r="EF26" s="11"/>
      <c r="EG26" s="15"/>
      <c r="EH26" s="12"/>
      <c r="EI26" s="16"/>
    </row>
    <row r="27" spans="1:139" s="131" customFormat="1" ht="24" customHeight="1" thickBot="1" x14ac:dyDescent="0.3">
      <c r="A27" s="27"/>
      <c r="B27" s="219"/>
      <c r="C27" s="208"/>
      <c r="D27" s="195">
        <v>0</v>
      </c>
      <c r="E27" s="196"/>
      <c r="F27" s="196"/>
      <c r="G27" s="196"/>
      <c r="H27" s="196"/>
      <c r="I27" s="197"/>
      <c r="J27" s="195">
        <v>0</v>
      </c>
      <c r="K27" s="196"/>
      <c r="L27" s="196"/>
      <c r="M27" s="196"/>
      <c r="N27" s="196"/>
      <c r="O27" s="197"/>
      <c r="P27" s="195">
        <v>0</v>
      </c>
      <c r="Q27" s="196"/>
      <c r="R27" s="196"/>
      <c r="S27" s="196"/>
      <c r="T27" s="196"/>
      <c r="U27" s="197"/>
      <c r="V27" s="195">
        <v>0</v>
      </c>
      <c r="W27" s="196"/>
      <c r="X27" s="196"/>
      <c r="Y27" s="196"/>
      <c r="Z27" s="196"/>
      <c r="AA27" s="197"/>
      <c r="AB27" s="195">
        <v>0</v>
      </c>
      <c r="AC27" s="196"/>
      <c r="AD27" s="196"/>
      <c r="AE27" s="196"/>
      <c r="AF27" s="196"/>
      <c r="AG27" s="197"/>
      <c r="AH27" s="195">
        <v>0</v>
      </c>
      <c r="AI27" s="196"/>
      <c r="AJ27" s="196"/>
      <c r="AK27" s="196"/>
      <c r="AL27" s="196"/>
      <c r="AM27" s="197"/>
      <c r="AN27" s="195">
        <v>0</v>
      </c>
      <c r="AO27" s="196"/>
      <c r="AP27" s="196"/>
      <c r="AQ27" s="196"/>
      <c r="AR27" s="196"/>
      <c r="AS27" s="197"/>
      <c r="AT27" s="195">
        <v>0</v>
      </c>
      <c r="AU27" s="196"/>
      <c r="AV27" s="196"/>
      <c r="AW27" s="196"/>
      <c r="AX27" s="196"/>
      <c r="AY27" s="197"/>
      <c r="AZ27" s="195">
        <v>0</v>
      </c>
      <c r="BA27" s="196"/>
      <c r="BB27" s="196"/>
      <c r="BC27" s="196"/>
      <c r="BD27" s="196"/>
      <c r="BE27" s="197"/>
      <c r="BF27" s="195">
        <v>0</v>
      </c>
      <c r="BG27" s="196"/>
      <c r="BH27" s="196"/>
      <c r="BI27" s="196"/>
      <c r="BJ27" s="196"/>
      <c r="BK27" s="197"/>
      <c r="BL27" s="195">
        <v>0</v>
      </c>
      <c r="BM27" s="196"/>
      <c r="BN27" s="196"/>
      <c r="BO27" s="196"/>
      <c r="BP27" s="196"/>
      <c r="BQ27" s="197"/>
      <c r="BR27" s="195">
        <v>0</v>
      </c>
      <c r="BS27" s="196"/>
      <c r="BT27" s="196"/>
      <c r="BU27" s="196"/>
      <c r="BV27" s="196"/>
      <c r="BW27" s="197"/>
      <c r="BX27" s="195">
        <v>0</v>
      </c>
      <c r="BY27" s="196"/>
      <c r="BZ27" s="196"/>
      <c r="CA27" s="196"/>
      <c r="CB27" s="196"/>
      <c r="CC27" s="197"/>
      <c r="CD27" s="195">
        <v>0</v>
      </c>
      <c r="CE27" s="196"/>
      <c r="CF27" s="196"/>
      <c r="CG27" s="196"/>
      <c r="CH27" s="196"/>
      <c r="CI27" s="197"/>
      <c r="CJ27" s="195">
        <v>0</v>
      </c>
      <c r="CK27" s="196"/>
      <c r="CL27" s="196"/>
      <c r="CM27" s="196"/>
      <c r="CN27" s="196"/>
      <c r="CO27" s="197"/>
      <c r="CP27" s="195">
        <v>0</v>
      </c>
      <c r="CQ27" s="196"/>
      <c r="CR27" s="196"/>
      <c r="CS27" s="196"/>
      <c r="CT27" s="196"/>
      <c r="CU27" s="197"/>
      <c r="CV27" s="195">
        <v>0</v>
      </c>
      <c r="CW27" s="196"/>
      <c r="CX27" s="196"/>
      <c r="CY27" s="196"/>
      <c r="CZ27" s="196"/>
      <c r="DA27" s="197"/>
      <c r="DB27" s="195">
        <v>0</v>
      </c>
      <c r="DC27" s="196"/>
      <c r="DD27" s="196"/>
      <c r="DE27" s="196"/>
      <c r="DF27" s="196"/>
      <c r="DG27" s="197"/>
      <c r="DH27" s="195">
        <v>0</v>
      </c>
      <c r="DI27" s="196"/>
      <c r="DJ27" s="196"/>
      <c r="DK27" s="196"/>
      <c r="DL27" s="196"/>
      <c r="DM27" s="197"/>
      <c r="DN27" s="195">
        <v>0</v>
      </c>
      <c r="DO27" s="196"/>
      <c r="DP27" s="196"/>
      <c r="DQ27" s="196"/>
      <c r="DR27" s="196"/>
      <c r="DS27" s="197"/>
      <c r="DT27" s="195">
        <v>0</v>
      </c>
      <c r="DU27" s="196"/>
      <c r="DV27" s="196"/>
      <c r="DW27" s="196"/>
      <c r="DX27" s="196"/>
      <c r="DY27" s="197"/>
      <c r="DZ27" s="195">
        <v>0</v>
      </c>
      <c r="EA27" s="196"/>
      <c r="EB27" s="196"/>
      <c r="EC27" s="196"/>
      <c r="ED27" s="196"/>
      <c r="EE27" s="197"/>
      <c r="EF27" s="129"/>
      <c r="EG27" s="98"/>
      <c r="EH27" s="130"/>
      <c r="EI27" s="99"/>
    </row>
    <row r="28" spans="1:139" ht="24" customHeight="1" thickBot="1" x14ac:dyDescent="0.3">
      <c r="B28" s="220"/>
      <c r="C28" s="55" t="s">
        <v>128</v>
      </c>
      <c r="D28" s="45">
        <f>MAX(E19:F26)-IF(D19="",E19,D19)-MIN(H19:H25)+$C16</f>
        <v>0</v>
      </c>
      <c r="E28" s="93"/>
      <c r="F28" s="93"/>
      <c r="G28" s="94"/>
      <c r="H28" s="95" t="e">
        <f ca="1">OFFSET(H18,MATCH(MIN(H19:H25),H19:H25,0),-4)-IF(D19="",E19,D19)</f>
        <v>#N/A</v>
      </c>
      <c r="I28" s="96"/>
      <c r="J28" s="45">
        <f>MAX(K19:L26)-IF(J19="",K19,J19)-MIN(N19:N25)+$C16</f>
        <v>0</v>
      </c>
      <c r="K28" s="48"/>
      <c r="L28" s="48"/>
      <c r="M28" s="49"/>
      <c r="N28" s="95" t="e">
        <f ca="1">OFFSET(N18,MATCH(MIN(N19:N25),N19:N25,0),-4)-IF(J19="",K19,J19)</f>
        <v>#N/A</v>
      </c>
      <c r="O28" s="47"/>
      <c r="P28" s="45">
        <f>MAX(Q19:R26)-IF(P19="",Q19,P19)-MIN(T19:T25)+$C16</f>
        <v>0</v>
      </c>
      <c r="Q28" s="48"/>
      <c r="R28" s="48"/>
      <c r="S28" s="49"/>
      <c r="T28" s="95" t="e">
        <f ca="1">OFFSET(T18,MATCH(MIN(T19:T25),T19:T25,0),-4)-IF(P19="",Q19,P19)</f>
        <v>#N/A</v>
      </c>
      <c r="U28" s="47"/>
      <c r="V28" s="45">
        <f>MAX(W19:X26)-IF(V19="",W19,V19)-MIN(Z19:Z25)+$C16</f>
        <v>0</v>
      </c>
      <c r="W28" s="48"/>
      <c r="X28" s="48"/>
      <c r="Y28" s="49"/>
      <c r="Z28" s="95" t="e">
        <f ca="1">OFFSET(Z18,MATCH(MIN(Z19:Z25),Z19:Z25,0),-4)-IF(V19="",W19,V19)</f>
        <v>#N/A</v>
      </c>
      <c r="AA28" s="47"/>
      <c r="AB28" s="45">
        <f>MAX(AC19:AD26)-IF(AB19="",AC19,AB19)-MIN(AF19:AF25)+$C16</f>
        <v>0</v>
      </c>
      <c r="AC28" s="48"/>
      <c r="AD28" s="48"/>
      <c r="AE28" s="49"/>
      <c r="AF28" s="95" t="e">
        <f ca="1">OFFSET(AF18,MATCH(MIN(AF19:AF25),AF19:AF25,0),-4)-IF(AB19="",AC19,AB19)</f>
        <v>#N/A</v>
      </c>
      <c r="AG28" s="47"/>
      <c r="AH28" s="45">
        <f>MAX(AI19:AJ26)-IF(AH19="",AI19,AH19)-MIN(AL19:AL25)+$C16</f>
        <v>0</v>
      </c>
      <c r="AI28" s="48"/>
      <c r="AJ28" s="48"/>
      <c r="AK28" s="49"/>
      <c r="AL28" s="95" t="e">
        <f ca="1">OFFSET(AL18,MATCH(MIN(AL19:AL25),AL19:AL25,0),-4)-IF(AH19="",AI19,AH19)</f>
        <v>#N/A</v>
      </c>
      <c r="AM28" s="47"/>
      <c r="AN28" s="45">
        <f>MAX(AO19:AP26)-IF(AN19="",AO19,AN19)-MIN(AR19:AR25)+$C16</f>
        <v>0</v>
      </c>
      <c r="AO28" s="48"/>
      <c r="AP28" s="48"/>
      <c r="AQ28" s="49"/>
      <c r="AR28" s="95" t="e">
        <f ca="1">OFFSET(AR18,MATCH(MIN(AR19:AR25),AR19:AR25,0),-4)-IF(AN19="",AO19,AN19)</f>
        <v>#N/A</v>
      </c>
      <c r="AS28" s="47"/>
      <c r="AT28" s="45">
        <f>MAX(AU19:AV26)-IF(AT19="",AU19,AT19)-MIN(AX19:AX25)+$C16</f>
        <v>0</v>
      </c>
      <c r="AU28" s="48"/>
      <c r="AV28" s="48"/>
      <c r="AW28" s="49"/>
      <c r="AX28" s="95" t="e">
        <f ca="1">OFFSET(AX18,MATCH(MIN(AX19:AX25),AX19:AX25,0),-4)-IF(AT19="",AU19,AT19)</f>
        <v>#N/A</v>
      </c>
      <c r="AY28" s="47"/>
      <c r="AZ28" s="45">
        <f>MAX(BA19:BB26)-IF(AZ19="",BA19,AZ19)-MIN(BD19:BD25)+$C16</f>
        <v>0</v>
      </c>
      <c r="BA28" s="48"/>
      <c r="BB28" s="48"/>
      <c r="BC28" s="49"/>
      <c r="BD28" s="95" t="e">
        <f ca="1">OFFSET(BD18,MATCH(MIN(BD19:BD25),BD19:BD25,0),-4)-IF(AZ19="",BA19,AZ19)</f>
        <v>#N/A</v>
      </c>
      <c r="BE28" s="47"/>
      <c r="BF28" s="45">
        <f>MAX(BG19:BH26)-IF(BF19="",BG19,BF19)-MIN(BJ19:BJ25)+$C16</f>
        <v>0</v>
      </c>
      <c r="BG28" s="48"/>
      <c r="BH28" s="48"/>
      <c r="BI28" s="49"/>
      <c r="BJ28" s="95" t="e">
        <f ca="1">OFFSET(BJ18,MATCH(MIN(BJ19:BJ25),BJ19:BJ25,0),-4)-IF(BF19="",BG19,BF19)</f>
        <v>#N/A</v>
      </c>
      <c r="BK28" s="47"/>
      <c r="BL28" s="45">
        <f>MAX(BM19:BN26)-IF(BL19="",BM19,BL19)-MIN(BP19:BP25)+$C16</f>
        <v>0</v>
      </c>
      <c r="BM28" s="48"/>
      <c r="BN28" s="48"/>
      <c r="BO28" s="49"/>
      <c r="BP28" s="95" t="e">
        <f ca="1">OFFSET(BP18,MATCH(MIN(BP19:BP25),BP19:BP25,0),-4)-IF(BL19="",BM19,BL19)</f>
        <v>#N/A</v>
      </c>
      <c r="BQ28" s="47"/>
      <c r="BR28" s="45">
        <f>MAX(BS19:BT26)-IF(BR19="",BS19,BR19)-MIN(BV19:BV25)+$C16</f>
        <v>0</v>
      </c>
      <c r="BS28" s="48"/>
      <c r="BT28" s="48"/>
      <c r="BU28" s="49"/>
      <c r="BV28" s="95" t="e">
        <f ca="1">OFFSET(BV18,MATCH(MIN(BV19:BV25),BV19:BV25,0),-4)-IF(BR19="",BS19,BR19)</f>
        <v>#N/A</v>
      </c>
      <c r="BW28" s="47"/>
      <c r="BX28" s="45">
        <f>MAX(BY19:BZ26)-IF(BX19="",BY19,BX19)-MIN(CB19:CB25)+$C16</f>
        <v>0</v>
      </c>
      <c r="BY28" s="48"/>
      <c r="BZ28" s="48"/>
      <c r="CA28" s="49"/>
      <c r="CB28" s="95" t="e">
        <f ca="1">OFFSET(CB18,MATCH(MIN(CB19:CB25),CB19:CB25,0),-4)-IF(BX19="",BY19,BX19)</f>
        <v>#N/A</v>
      </c>
      <c r="CC28" s="47"/>
      <c r="CD28" s="45">
        <f>MAX(CE19:CF26)-IF(CD19="",CE19,CD19)-MIN(CH19:CH25)+$C16</f>
        <v>0</v>
      </c>
      <c r="CE28" s="48"/>
      <c r="CF28" s="48"/>
      <c r="CG28" s="49"/>
      <c r="CH28" s="95" t="e">
        <f ca="1">OFFSET(CH18,MATCH(MIN(CH19:CH25),CH19:CH25,0),-4)-IF(CD19="",CE19,CD19)</f>
        <v>#N/A</v>
      </c>
      <c r="CI28" s="47"/>
      <c r="CJ28" s="45">
        <f>MAX(CK19:CL26)-IF(CJ19="",CK19,CJ19)-MIN(CN19:CN25)+$C16</f>
        <v>0</v>
      </c>
      <c r="CK28" s="48"/>
      <c r="CL28" s="48"/>
      <c r="CM28" s="49"/>
      <c r="CN28" s="95" t="e">
        <f ca="1">OFFSET(CN18,MATCH(MIN(CN19:CN25),CN19:CN25,0),-4)-IF(CJ19="",CK19,CJ19)</f>
        <v>#N/A</v>
      </c>
      <c r="CO28" s="47"/>
      <c r="CP28" s="45">
        <f>MAX(CQ19:CR26)-IF(CP19="",CQ19,CP19)-MIN(CT19:CT25)+$C16</f>
        <v>0</v>
      </c>
      <c r="CQ28" s="48"/>
      <c r="CR28" s="48"/>
      <c r="CS28" s="49"/>
      <c r="CT28" s="95" t="e">
        <f ca="1">OFFSET(CT18,MATCH(MIN(CT19:CT25),CT19:CT25,0),-4)-IF(CP19="",CQ19,CP19)</f>
        <v>#N/A</v>
      </c>
      <c r="CU28" s="47"/>
      <c r="CV28" s="45">
        <f>MAX(CW19:CX26)-IF(CV19="",CW19,CV19)-MIN(CZ19:CZ25)+$C16</f>
        <v>0</v>
      </c>
      <c r="CW28" s="48"/>
      <c r="CX28" s="48"/>
      <c r="CY28" s="49"/>
      <c r="CZ28" s="95" t="e">
        <f ca="1">OFFSET(CZ18,MATCH(MIN(CZ19:CZ25),CZ19:CZ25,0),-4)-IF(CV19="",CW19,CV19)</f>
        <v>#N/A</v>
      </c>
      <c r="DA28" s="47"/>
      <c r="DB28" s="45">
        <f>MAX(DC19:DD26)-IF(DB19="",DC19,DB19)-MIN(DF19:DF25)+$C16</f>
        <v>0</v>
      </c>
      <c r="DC28" s="48"/>
      <c r="DD28" s="48"/>
      <c r="DE28" s="49"/>
      <c r="DF28" s="95" t="e">
        <f ca="1">OFFSET(DF18,MATCH(MIN(DF19:DF25),DF19:DF25,0),-4)-IF(DB19="",DC19,DB19)</f>
        <v>#N/A</v>
      </c>
      <c r="DG28" s="47"/>
      <c r="DH28" s="45">
        <f>MAX(DI19:DJ26)-IF(DH19="",DI19,DH19)-MIN(DL19:DL25)+$C16</f>
        <v>0</v>
      </c>
      <c r="DI28" s="48"/>
      <c r="DJ28" s="48"/>
      <c r="DK28" s="49"/>
      <c r="DL28" s="95" t="e">
        <f ca="1">OFFSET(DL18,MATCH(MIN(DL19:DL25),DL19:DL25,0),-4)-IF(DH19="",DI19,DH19)</f>
        <v>#N/A</v>
      </c>
      <c r="DM28" s="47"/>
      <c r="DN28" s="45">
        <f>MAX(DO19:DP26)-IF(DN19="",DO19,DN19)-MIN(DR19:DR25)+$C16</f>
        <v>0</v>
      </c>
      <c r="DO28" s="48"/>
      <c r="DP28" s="48"/>
      <c r="DQ28" s="49"/>
      <c r="DR28" s="95" t="e">
        <f ca="1">OFFSET(DR18,MATCH(MIN(DR19:DR25),DR19:DR25,0),-4)-IF(DN19="",DO19,DN19)</f>
        <v>#N/A</v>
      </c>
      <c r="DS28" s="47"/>
      <c r="DT28" s="45">
        <f>MAX(DU19:DV26)-IF(DT19="",DU19,DT19)-MIN(DX19:DX25)+$C16</f>
        <v>0</v>
      </c>
      <c r="DU28" s="48"/>
      <c r="DV28" s="48"/>
      <c r="DW28" s="49"/>
      <c r="DX28" s="95" t="e">
        <f ca="1">OFFSET(DX18,MATCH(MIN(DX19:DX25),DX19:DX25,0),-4)-IF(DT19="",DU19,DT19)</f>
        <v>#N/A</v>
      </c>
      <c r="DY28" s="47"/>
      <c r="DZ28" s="45">
        <f>MAX(EA19:EB26)-IF(DZ19="",EA19,DZ19)-MIN(ED19:ED25)+$C16</f>
        <v>0</v>
      </c>
      <c r="EA28" s="48"/>
      <c r="EB28" s="48"/>
      <c r="EC28" s="49"/>
      <c r="ED28" s="95" t="e">
        <f ca="1">OFFSET(ED18,MATCH(MIN(ED19:ED25),ED19:ED25,0),-4)-IF(DZ19="",EA19,DZ19)</f>
        <v>#N/A</v>
      </c>
      <c r="EE28" s="47"/>
      <c r="EF28" s="11"/>
      <c r="EG28" s="51"/>
      <c r="EH28" s="50"/>
      <c r="EI28" s="52"/>
    </row>
    <row r="29" spans="1:139" customFormat="1" ht="24" customHeight="1" x14ac:dyDescent="0.25"/>
    <row r="30" spans="1:139" ht="24" customHeight="1" thickBot="1" x14ac:dyDescent="0.3">
      <c r="L30"/>
      <c r="M30"/>
    </row>
    <row r="31" spans="1:139" ht="24" customHeight="1" thickBot="1" x14ac:dyDescent="0.3">
      <c r="D31" s="53">
        <f>IF(F30="",E30,F30)</f>
        <v>0</v>
      </c>
      <c r="E31" s="54"/>
      <c r="F31" s="53">
        <f>IF(D32="",E32,D32)</f>
        <v>0</v>
      </c>
      <c r="G31" s="54"/>
      <c r="H31" s="54">
        <f>F31-D31</f>
        <v>0</v>
      </c>
      <c r="I31" s="54"/>
      <c r="L31"/>
      <c r="M31"/>
    </row>
    <row r="32" spans="1:139" ht="24" customHeight="1" thickBot="1" x14ac:dyDescent="0.3">
      <c r="L32"/>
      <c r="M32"/>
      <c r="N32" s="59"/>
      <c r="AI32"/>
      <c r="AJ32"/>
      <c r="AK32"/>
      <c r="AL32"/>
      <c r="AM32"/>
      <c r="AN32"/>
    </row>
    <row r="33" spans="4:14" ht="24" customHeight="1" thickBot="1" x14ac:dyDescent="0.3">
      <c r="D33" s="18"/>
      <c r="E33" s="37" t="s">
        <v>125</v>
      </c>
      <c r="F33" s="38"/>
      <c r="G33" s="38"/>
      <c r="H33" s="38"/>
      <c r="I33" s="38"/>
      <c r="J33" s="39"/>
      <c r="L33"/>
      <c r="M33"/>
      <c r="N33" s="59"/>
    </row>
    <row r="34" spans="4:14" ht="24" customHeight="1" thickBot="1" x14ac:dyDescent="0.3">
      <c r="D34" s="18"/>
      <c r="E34" s="37" t="s">
        <v>125</v>
      </c>
      <c r="F34" s="38"/>
      <c r="G34" s="38"/>
      <c r="H34" s="38"/>
      <c r="I34" s="38"/>
      <c r="J34" s="39"/>
      <c r="L34"/>
      <c r="M34"/>
      <c r="N34" s="59"/>
    </row>
    <row r="35" spans="4:14" ht="24" customHeight="1" thickBot="1" x14ac:dyDescent="0.3">
      <c r="D35" s="18"/>
      <c r="E35" s="37" t="s">
        <v>125</v>
      </c>
      <c r="F35" s="38"/>
      <c r="G35" s="38"/>
      <c r="H35" s="38"/>
      <c r="I35" s="38"/>
      <c r="J35" s="39"/>
      <c r="L35"/>
      <c r="M35"/>
      <c r="N35" s="59"/>
    </row>
    <row r="36" spans="4:14" ht="24" customHeight="1" x14ac:dyDescent="0.25">
      <c r="L36"/>
      <c r="M36"/>
      <c r="N36" s="59"/>
    </row>
    <row r="37" spans="4:14" ht="24" customHeight="1" x14ac:dyDescent="0.25">
      <c r="L37"/>
      <c r="M37"/>
      <c r="N37" s="59"/>
    </row>
    <row r="38" spans="4:14" ht="24" customHeight="1" x14ac:dyDescent="0.25">
      <c r="L38"/>
      <c r="M38"/>
      <c r="N38" s="59"/>
    </row>
    <row r="39" spans="4:14" ht="24" customHeight="1" x14ac:dyDescent="0.25">
      <c r="L39"/>
      <c r="M39"/>
      <c r="N39" s="59"/>
    </row>
    <row r="40" spans="4:14" ht="24" customHeight="1" x14ac:dyDescent="0.25">
      <c r="L40"/>
      <c r="M40"/>
      <c r="N40" s="59"/>
    </row>
    <row r="41" spans="4:14" ht="24" customHeight="1" x14ac:dyDescent="0.25">
      <c r="L41"/>
      <c r="M41"/>
      <c r="N41" s="59"/>
    </row>
    <row r="42" spans="4:14" ht="24" customHeight="1" x14ac:dyDescent="0.25">
      <c r="L42"/>
      <c r="M42"/>
      <c r="N42" s="59"/>
    </row>
    <row r="43" spans="4:14" ht="24" customHeight="1" x14ac:dyDescent="0.25">
      <c r="L43"/>
      <c r="M43"/>
      <c r="N43" s="59"/>
    </row>
    <row r="44" spans="4:14" ht="24" customHeight="1" x14ac:dyDescent="0.25">
      <c r="L44"/>
      <c r="M44"/>
      <c r="N44" s="59"/>
    </row>
    <row r="45" spans="4:14" ht="24" customHeight="1" x14ac:dyDescent="0.25">
      <c r="L45"/>
      <c r="M45"/>
      <c r="N45" s="59"/>
    </row>
    <row r="46" spans="4:14" ht="24" customHeight="1" x14ac:dyDescent="0.25">
      <c r="L46"/>
      <c r="M46"/>
      <c r="N46" s="59"/>
    </row>
    <row r="47" spans="4:14" ht="24" customHeight="1" x14ac:dyDescent="0.25">
      <c r="L47"/>
      <c r="M47"/>
      <c r="N47" s="59"/>
    </row>
    <row r="48" spans="4:14" ht="24" customHeight="1" x14ac:dyDescent="0.25">
      <c r="L48"/>
      <c r="M48"/>
      <c r="N48" s="59"/>
    </row>
    <row r="49" spans="12:14" ht="24" customHeight="1" x14ac:dyDescent="0.25">
      <c r="L49"/>
      <c r="M49"/>
      <c r="N49" s="59"/>
    </row>
    <row r="50" spans="12:14" ht="24" customHeight="1" x14ac:dyDescent="0.25">
      <c r="L50"/>
      <c r="M50"/>
      <c r="N50" s="59"/>
    </row>
    <row r="51" spans="12:14" ht="24" customHeight="1" x14ac:dyDescent="0.25">
      <c r="L51"/>
      <c r="M51"/>
      <c r="N51" s="59"/>
    </row>
    <row r="52" spans="12:14" ht="24" customHeight="1" x14ac:dyDescent="0.25">
      <c r="L52"/>
      <c r="M52"/>
      <c r="N52" s="59"/>
    </row>
    <row r="53" spans="12:14" ht="24" customHeight="1" x14ac:dyDescent="0.25">
      <c r="L53"/>
      <c r="M53"/>
      <c r="N53" s="59"/>
    </row>
  </sheetData>
  <mergeCells count="47">
    <mergeCell ref="DB27:DG27"/>
    <mergeCell ref="DH27:DM27"/>
    <mergeCell ref="DN27:DS27"/>
    <mergeCell ref="DT27:DY27"/>
    <mergeCell ref="DZ27:EE27"/>
    <mergeCell ref="BX27:CC27"/>
    <mergeCell ref="CD27:CI27"/>
    <mergeCell ref="CJ27:CO27"/>
    <mergeCell ref="CP27:CU27"/>
    <mergeCell ref="CV27:DA27"/>
    <mergeCell ref="AT27:AY27"/>
    <mergeCell ref="AZ27:BE27"/>
    <mergeCell ref="BF27:BK27"/>
    <mergeCell ref="BL27:BQ27"/>
    <mergeCell ref="BR27:BW27"/>
    <mergeCell ref="P27:U27"/>
    <mergeCell ref="V27:AA27"/>
    <mergeCell ref="AB27:AG27"/>
    <mergeCell ref="AH27:AM27"/>
    <mergeCell ref="AN27:AS27"/>
    <mergeCell ref="DB14:DG14"/>
    <mergeCell ref="DH14:DM14"/>
    <mergeCell ref="DN14:DS14"/>
    <mergeCell ref="DT14:DY14"/>
    <mergeCell ref="DZ14:EE14"/>
    <mergeCell ref="BX14:CC14"/>
    <mergeCell ref="CD14:CI14"/>
    <mergeCell ref="CJ14:CO14"/>
    <mergeCell ref="CP14:CU14"/>
    <mergeCell ref="CV14:DA14"/>
    <mergeCell ref="AT14:AY14"/>
    <mergeCell ref="AZ14:BE14"/>
    <mergeCell ref="BF14:BK14"/>
    <mergeCell ref="BL14:BQ14"/>
    <mergeCell ref="BR14:BW14"/>
    <mergeCell ref="P14:U14"/>
    <mergeCell ref="V14:AA14"/>
    <mergeCell ref="AB14:AG14"/>
    <mergeCell ref="AH14:AM14"/>
    <mergeCell ref="AN14:AS14"/>
    <mergeCell ref="C18:C27"/>
    <mergeCell ref="B2:B28"/>
    <mergeCell ref="J14:O14"/>
    <mergeCell ref="D14:I14"/>
    <mergeCell ref="D27:I27"/>
    <mergeCell ref="J27:O27"/>
    <mergeCell ref="C5:C14"/>
  </mergeCells>
  <conditionalFormatting sqref="D14">
    <cfRule type="containsText" dxfId="100" priority="105" operator="containsText" text="VEGA">
      <formula>NOT(ISERROR(SEARCH("VEGA",D14)))</formula>
    </cfRule>
    <cfRule type="containsText" dxfId="99" priority="106" operator="containsText" text="LÍDER">
      <formula>NOT(ISERROR(SEARCH("LÍDER",D14)))</formula>
    </cfRule>
    <cfRule type="containsText" dxfId="98" priority="107" operator="containsText" text="GLOBAL">
      <formula>NOT(ISERROR(SEARCH("GLOBAL",D14)))</formula>
    </cfRule>
    <cfRule type="containsText" dxfId="97" priority="108" operator="containsText" text="COROADO">
      <formula>NOT(ISERROR(SEARCH("COROADO",D14)))</formula>
    </cfRule>
    <cfRule type="containsText" dxfId="96" priority="109" operator="containsText" text="VIA VERDE">
      <formula>NOT(ISERROR(SEARCH("VIA VERDE",D14)))</formula>
    </cfRule>
    <cfRule type="containsText" dxfId="95" priority="110" operator="containsText" text="INTEGRAÇÃO">
      <formula>NOT(ISERROR(SEARCH("INTEGRAÇÃO",D14)))</formula>
    </cfRule>
    <cfRule type="containsText" dxfId="94" priority="111" operator="containsText" text="SÃO PEDRO">
      <formula>NOT(ISERROR(SEARCH("SÃO PEDRO",D14)))</formula>
    </cfRule>
  </conditionalFormatting>
  <conditionalFormatting sqref="J14 P14 V14 AB14 AH14 AN14 AT14 AZ14 BF14 BL14 BR14 BX14 CD14 CJ14 CP14 CV14 DB14 DH14 DN14 DT14 DZ14">
    <cfRule type="containsText" dxfId="93" priority="33" operator="containsText" text="VEGA">
      <formula>NOT(ISERROR(SEARCH("VEGA",J14)))</formula>
    </cfRule>
    <cfRule type="containsText" dxfId="92" priority="34" operator="containsText" text="LÍDER">
      <formula>NOT(ISERROR(SEARCH("LÍDER",J14)))</formula>
    </cfRule>
    <cfRule type="containsText" dxfId="91" priority="35" operator="containsText" text="GLOBAL">
      <formula>NOT(ISERROR(SEARCH("GLOBAL",J14)))</formula>
    </cfRule>
    <cfRule type="containsText" dxfId="90" priority="36" operator="containsText" text="COROADO">
      <formula>NOT(ISERROR(SEARCH("COROADO",J14)))</formula>
    </cfRule>
    <cfRule type="containsText" dxfId="89" priority="37" operator="containsText" text="VIA VERDE">
      <formula>NOT(ISERROR(SEARCH("VIA VERDE",J14)))</formula>
    </cfRule>
    <cfRule type="containsText" dxfId="88" priority="38" operator="containsText" text="INTEGRAÇÃO">
      <formula>NOT(ISERROR(SEARCH("INTEGRAÇÃO",J14)))</formula>
    </cfRule>
    <cfRule type="containsText" dxfId="87" priority="39" operator="containsText" text="SÃO PEDRO">
      <formula>NOT(ISERROR(SEARCH("SÃO PEDRO",J14)))</formula>
    </cfRule>
  </conditionalFormatting>
  <conditionalFormatting sqref="D27 J27 P27 V27 AB27 AH27 AN27 AT27 AZ27 BF27 BL27 BR27 BX27 CD27 CJ27 CP27 CV27 DB27 DH27 DN27 DT27 DZ27">
    <cfRule type="containsText" dxfId="86" priority="26" operator="containsText" text="VEGA">
      <formula>NOT(ISERROR(SEARCH("VEGA",D27)))</formula>
    </cfRule>
    <cfRule type="containsText" dxfId="85" priority="27" operator="containsText" text="LÍDER">
      <formula>NOT(ISERROR(SEARCH("LÍDER",D27)))</formula>
    </cfRule>
    <cfRule type="containsText" dxfId="84" priority="28" operator="containsText" text="GLOBAL">
      <formula>NOT(ISERROR(SEARCH("GLOBAL",D27)))</formula>
    </cfRule>
    <cfRule type="containsText" dxfId="83" priority="29" operator="containsText" text="COROADO">
      <formula>NOT(ISERROR(SEARCH("COROADO",D27)))</formula>
    </cfRule>
    <cfRule type="containsText" dxfId="82" priority="30" operator="containsText" text="VIA VERDE">
      <formula>NOT(ISERROR(SEARCH("VIA VERDE",D27)))</formula>
    </cfRule>
    <cfRule type="containsText" dxfId="81" priority="31" operator="containsText" text="INTEGRAÇÃO">
      <formula>NOT(ISERROR(SEARCH("INTEGRAÇÃO",D27)))</formula>
    </cfRule>
    <cfRule type="containsText" dxfId="80" priority="32" operator="containsText" text="SÃO PEDRO">
      <formula>NOT(ISERROR(SEARCH("SÃO PEDRO",D27)))</formula>
    </cfRule>
  </conditionalFormatting>
  <conditionalFormatting sqref="D4">
    <cfRule type="colorScale" priority="25">
      <colorScale>
        <cfvo type="min"/>
        <cfvo type="max"/>
        <color rgb="FFFF7128"/>
        <color rgb="FFFFEF9C"/>
      </colorScale>
    </cfRule>
  </conditionalFormatting>
  <conditionalFormatting sqref="E4">
    <cfRule type="notContainsBlanks" dxfId="79" priority="24">
      <formula>LEN(TRIM(E4))&gt;0</formula>
    </cfRule>
  </conditionalFormatting>
  <conditionalFormatting sqref="F4:I4">
    <cfRule type="notContainsBlanks" dxfId="78" priority="23">
      <formula>LEN(TRIM(F4))&gt;0</formula>
    </cfRule>
  </conditionalFormatting>
  <conditionalFormatting sqref="D4:I4">
    <cfRule type="expression" dxfId="77" priority="22" stopIfTrue="1">
      <formula>LEN($D4)=14</formula>
    </cfRule>
  </conditionalFormatting>
  <conditionalFormatting sqref="J4:O4">
    <cfRule type="expression" dxfId="76" priority="21">
      <formula>LEN($J4)=14</formula>
    </cfRule>
  </conditionalFormatting>
  <conditionalFormatting sqref="P4:U4">
    <cfRule type="expression" dxfId="75" priority="20">
      <formula>LEN($P4)=14</formula>
    </cfRule>
  </conditionalFormatting>
  <conditionalFormatting sqref="V4:AA4">
    <cfRule type="expression" dxfId="74" priority="19">
      <formula>LEN($V4)=14</formula>
    </cfRule>
  </conditionalFormatting>
  <conditionalFormatting sqref="AB4:AG4">
    <cfRule type="expression" dxfId="73" priority="18">
      <formula>LEN($AB4)=14</formula>
    </cfRule>
  </conditionalFormatting>
  <conditionalFormatting sqref="AH4:AM4">
    <cfRule type="expression" dxfId="72" priority="17">
      <formula>LEN($AH4)=14</formula>
    </cfRule>
  </conditionalFormatting>
  <conditionalFormatting sqref="AN4:AS4">
    <cfRule type="expression" dxfId="71" priority="16">
      <formula>LEN($AN4)=14</formula>
    </cfRule>
  </conditionalFormatting>
  <conditionalFormatting sqref="AT4:AY4">
    <cfRule type="expression" dxfId="70" priority="15">
      <formula>LEN($AT4)=14</formula>
    </cfRule>
  </conditionalFormatting>
  <conditionalFormatting sqref="AZ4:BE4">
    <cfRule type="expression" dxfId="69" priority="14">
      <formula>LEN($AZ4)=14</formula>
    </cfRule>
  </conditionalFormatting>
  <conditionalFormatting sqref="BF4:BK4">
    <cfRule type="expression" dxfId="68" priority="13">
      <formula>LEN($BF4)=15</formula>
    </cfRule>
  </conditionalFormatting>
  <conditionalFormatting sqref="BL4:BQ4">
    <cfRule type="expression" dxfId="67" priority="12">
      <formula>LEN($BL4)=15</formula>
    </cfRule>
  </conditionalFormatting>
  <conditionalFormatting sqref="BR4:BW4">
    <cfRule type="expression" dxfId="66" priority="11">
      <formula>LEN($BR4)=15</formula>
    </cfRule>
  </conditionalFormatting>
  <conditionalFormatting sqref="BX4:CC4">
    <cfRule type="expression" dxfId="65" priority="10">
      <formula>LEN($BX4)=15</formula>
    </cfRule>
  </conditionalFormatting>
  <conditionalFormatting sqref="CD4:CI4">
    <cfRule type="expression" dxfId="64" priority="9">
      <formula>LEN($CD4)=15</formula>
    </cfRule>
  </conditionalFormatting>
  <conditionalFormatting sqref="CJ4:CO4">
    <cfRule type="expression" dxfId="63" priority="8">
      <formula>LEN($CJ4)=15</formula>
    </cfRule>
  </conditionalFormatting>
  <conditionalFormatting sqref="CP4:CU4">
    <cfRule type="expression" dxfId="62" priority="7">
      <formula>LEN($CP4)=15</formula>
    </cfRule>
  </conditionalFormatting>
  <conditionalFormatting sqref="CV4:DA4">
    <cfRule type="expression" dxfId="61" priority="6">
      <formula>LEN($CV4)=15</formula>
    </cfRule>
  </conditionalFormatting>
  <conditionalFormatting sqref="DB4:DG4">
    <cfRule type="expression" dxfId="60" priority="5">
      <formula>LEN($DB4)=15</formula>
    </cfRule>
  </conditionalFormatting>
  <conditionalFormatting sqref="DH4:DM4">
    <cfRule type="expression" dxfId="59" priority="4">
      <formula>LEN($DH4)=15</formula>
    </cfRule>
  </conditionalFormatting>
  <conditionalFormatting sqref="DN4:DS4">
    <cfRule type="expression" dxfId="58" priority="3">
      <formula>LEN($DN4)=15</formula>
    </cfRule>
  </conditionalFormatting>
  <conditionalFormatting sqref="DT4:DY4">
    <cfRule type="expression" dxfId="57" priority="2">
      <formula>LEN($DT4)=15</formula>
    </cfRule>
  </conditionalFormatting>
  <conditionalFormatting sqref="DZ4:EE4">
    <cfRule type="expression" dxfId="56" priority="1">
      <formula>LEN($DZ4)=15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22E2-2C17-495A-B73D-E411F138279D}">
  <dimension ref="A1:EN55"/>
  <sheetViews>
    <sheetView zoomScale="70" zoomScaleNormal="70" workbookViewId="0">
      <selection sqref="A1:XFD1048576"/>
    </sheetView>
  </sheetViews>
  <sheetFormatPr defaultColWidth="8.7109375" defaultRowHeight="24" customHeight="1" x14ac:dyDescent="0.25"/>
  <cols>
    <col min="1" max="16384" width="8.7109375" style="17"/>
  </cols>
  <sheetData>
    <row r="1" spans="1:144" customFormat="1" ht="24" customHeight="1" thickBot="1" x14ac:dyDescent="0.3"/>
    <row r="2" spans="1:144" ht="24" customHeight="1" thickBot="1" x14ac:dyDescent="0.3">
      <c r="B2" s="218" t="s">
        <v>10</v>
      </c>
      <c r="C2" s="107" t="s">
        <v>123</v>
      </c>
      <c r="D2" s="41"/>
      <c r="E2" s="41"/>
      <c r="F2" s="41"/>
      <c r="G2" s="41"/>
      <c r="H2" s="42"/>
      <c r="I2" s="40"/>
      <c r="J2" s="41"/>
      <c r="K2" s="41"/>
      <c r="L2" s="41"/>
      <c r="M2" s="41"/>
      <c r="N2" s="42"/>
      <c r="O2" s="40"/>
      <c r="P2" s="41"/>
      <c r="Q2" s="41"/>
      <c r="R2" s="41"/>
      <c r="S2" s="41"/>
      <c r="T2" s="42"/>
      <c r="U2" s="40"/>
      <c r="V2" s="41"/>
      <c r="W2" s="41"/>
      <c r="X2" s="41"/>
      <c r="Y2" s="41"/>
      <c r="Z2" s="42"/>
      <c r="AA2" s="40"/>
      <c r="AB2" s="41"/>
      <c r="AC2" s="41"/>
      <c r="AD2" s="41"/>
      <c r="AE2" s="41"/>
      <c r="AF2" s="42"/>
      <c r="AG2" s="40"/>
      <c r="AH2" s="41"/>
      <c r="AI2" s="41"/>
      <c r="AJ2" s="41"/>
      <c r="AK2" s="41"/>
      <c r="AL2" s="42"/>
      <c r="AM2" s="40"/>
      <c r="AN2" s="41"/>
      <c r="AO2" s="41"/>
      <c r="AP2" s="41"/>
      <c r="AQ2" s="41"/>
      <c r="AR2" s="42"/>
      <c r="AS2" s="40"/>
      <c r="AT2" s="41"/>
      <c r="AU2" s="41"/>
      <c r="AV2" s="41"/>
      <c r="AW2" s="41"/>
      <c r="AX2" s="42"/>
      <c r="AY2" s="40"/>
      <c r="AZ2" s="41"/>
      <c r="BA2" s="41"/>
      <c r="BB2" s="41"/>
      <c r="BC2" s="41"/>
      <c r="BD2" s="42"/>
      <c r="BE2" s="40"/>
      <c r="BF2" s="41"/>
      <c r="BG2" s="41"/>
      <c r="BH2" s="41"/>
      <c r="BI2" s="41"/>
      <c r="BJ2" s="42"/>
      <c r="BK2" s="40"/>
      <c r="BL2" s="41"/>
      <c r="BM2" s="41"/>
      <c r="BN2" s="41"/>
      <c r="BO2" s="41"/>
      <c r="BP2" s="42"/>
      <c r="BQ2" s="40"/>
      <c r="BR2" s="41"/>
      <c r="BS2" s="41"/>
      <c r="BT2" s="41"/>
      <c r="BU2" s="41"/>
      <c r="BV2" s="42"/>
      <c r="BW2" s="40"/>
      <c r="BX2" s="41"/>
      <c r="BY2" s="41"/>
      <c r="BZ2" s="41"/>
      <c r="CA2" s="41"/>
      <c r="CB2" s="42"/>
      <c r="CC2" s="40"/>
      <c r="CD2" s="41"/>
      <c r="CE2" s="41"/>
      <c r="CF2" s="41"/>
      <c r="CG2" s="41"/>
      <c r="CH2" s="42"/>
      <c r="CI2" s="40"/>
      <c r="CJ2" s="41"/>
      <c r="CK2" s="41"/>
      <c r="CL2" s="41"/>
      <c r="CM2" s="41"/>
      <c r="CN2" s="42"/>
      <c r="CO2" s="40"/>
      <c r="CP2" s="41"/>
      <c r="CQ2" s="41"/>
      <c r="CR2" s="41"/>
      <c r="CS2" s="41"/>
      <c r="CT2" s="42"/>
      <c r="CU2" s="40"/>
      <c r="CV2" s="41"/>
      <c r="CW2" s="41"/>
      <c r="CX2" s="41"/>
      <c r="CY2" s="41"/>
      <c r="CZ2" s="42"/>
      <c r="DA2" s="40"/>
      <c r="DB2" s="41"/>
      <c r="DC2" s="41"/>
      <c r="DD2" s="41"/>
      <c r="DE2" s="41"/>
      <c r="DF2" s="42"/>
      <c r="DG2" s="40"/>
      <c r="DH2" s="41"/>
      <c r="DI2" s="41"/>
      <c r="DJ2" s="41"/>
      <c r="DK2" s="41"/>
      <c r="DL2" s="42"/>
      <c r="DM2" s="40"/>
      <c r="DN2" s="41"/>
      <c r="DO2" s="41"/>
      <c r="DP2" s="41"/>
      <c r="DQ2" s="41"/>
      <c r="DR2" s="42"/>
      <c r="DS2" s="40"/>
      <c r="DT2" s="41"/>
      <c r="DU2" s="41"/>
      <c r="DV2" s="41"/>
      <c r="DW2" s="41"/>
      <c r="DX2" s="42"/>
      <c r="DY2" s="40"/>
      <c r="DZ2" s="41"/>
      <c r="EA2" s="41"/>
      <c r="EB2" s="41"/>
      <c r="EC2" s="41"/>
      <c r="ED2" s="42"/>
      <c r="EE2" s="106"/>
      <c r="EF2" s="132" t="s">
        <v>11</v>
      </c>
      <c r="EG2" s="41"/>
      <c r="EH2" s="41"/>
      <c r="EI2" s="42"/>
      <c r="EK2"/>
      <c r="EL2"/>
      <c r="EM2"/>
      <c r="EN2"/>
    </row>
    <row r="3" spans="1:144" ht="24" customHeight="1" thickBot="1" x14ac:dyDescent="0.3">
      <c r="B3" s="219"/>
      <c r="C3" s="60">
        <v>0</v>
      </c>
      <c r="D3" s="40" t="s">
        <v>6</v>
      </c>
      <c r="E3" s="41"/>
      <c r="F3" s="41"/>
      <c r="G3" s="41"/>
      <c r="H3" s="41"/>
      <c r="I3" s="42"/>
      <c r="J3" s="40"/>
      <c r="K3" s="41"/>
      <c r="L3" s="41"/>
      <c r="M3" s="41"/>
      <c r="N3" s="41"/>
      <c r="O3" s="42"/>
      <c r="P3" s="40"/>
      <c r="Q3" s="41"/>
      <c r="R3" s="41"/>
      <c r="S3" s="41"/>
      <c r="T3" s="41"/>
      <c r="U3" s="42"/>
      <c r="V3" s="40"/>
      <c r="W3" s="41"/>
      <c r="X3" s="41"/>
      <c r="Y3" s="41"/>
      <c r="Z3" s="41"/>
      <c r="AA3" s="42"/>
      <c r="AB3" s="40"/>
      <c r="AC3" s="41"/>
      <c r="AD3" s="41"/>
      <c r="AE3" s="41"/>
      <c r="AF3" s="41"/>
      <c r="AG3" s="42"/>
      <c r="AH3" s="40"/>
      <c r="AI3" s="41"/>
      <c r="AJ3" s="41"/>
      <c r="AK3" s="41"/>
      <c r="AL3" s="41"/>
      <c r="AM3" s="42"/>
      <c r="AN3" s="40"/>
      <c r="AO3" s="41"/>
      <c r="AP3" s="41"/>
      <c r="AQ3" s="41"/>
      <c r="AR3" s="41"/>
      <c r="AS3" s="42"/>
      <c r="AT3" s="40"/>
      <c r="AU3" s="41"/>
      <c r="AV3" s="41"/>
      <c r="AW3" s="41"/>
      <c r="AX3" s="41"/>
      <c r="AY3" s="42"/>
      <c r="AZ3" s="40"/>
      <c r="BA3" s="41"/>
      <c r="BB3" s="41"/>
      <c r="BC3" s="41"/>
      <c r="BD3" s="41"/>
      <c r="BE3" s="42"/>
      <c r="BF3" s="40"/>
      <c r="BG3" s="41"/>
      <c r="BH3" s="41"/>
      <c r="BI3" s="41"/>
      <c r="BJ3" s="41"/>
      <c r="BK3" s="42"/>
      <c r="BL3" s="40"/>
      <c r="BM3" s="41"/>
      <c r="BN3" s="41"/>
      <c r="BO3" s="41"/>
      <c r="BP3" s="41"/>
      <c r="BQ3" s="42"/>
      <c r="BR3" s="40"/>
      <c r="BS3" s="41"/>
      <c r="BT3" s="41"/>
      <c r="BU3" s="41"/>
      <c r="BV3" s="41"/>
      <c r="BW3" s="42"/>
      <c r="BX3" s="40"/>
      <c r="BY3" s="41"/>
      <c r="BZ3" s="41"/>
      <c r="CA3" s="41"/>
      <c r="CB3" s="41"/>
      <c r="CC3" s="42"/>
      <c r="CD3" s="40"/>
      <c r="CE3" s="41"/>
      <c r="CF3" s="41"/>
      <c r="CG3" s="41"/>
      <c r="CH3" s="41"/>
      <c r="CI3" s="42"/>
      <c r="CJ3" s="40"/>
      <c r="CK3" s="41"/>
      <c r="CL3" s="41"/>
      <c r="CM3" s="41"/>
      <c r="CN3" s="41"/>
      <c r="CO3" s="42"/>
      <c r="CP3" s="40"/>
      <c r="CQ3" s="41"/>
      <c r="CR3" s="41"/>
      <c r="CS3" s="41"/>
      <c r="CT3" s="41"/>
      <c r="CU3" s="42"/>
      <c r="CV3" s="40"/>
      <c r="CW3" s="41"/>
      <c r="CX3" s="41"/>
      <c r="CY3" s="41"/>
      <c r="CZ3" s="41"/>
      <c r="DA3" s="42"/>
      <c r="DB3" s="40"/>
      <c r="DC3" s="41"/>
      <c r="DD3" s="41"/>
      <c r="DE3" s="41"/>
      <c r="DF3" s="41"/>
      <c r="DG3" s="42"/>
      <c r="DH3" s="40"/>
      <c r="DI3" s="41"/>
      <c r="DJ3" s="41"/>
      <c r="DK3" s="41"/>
      <c r="DL3" s="41"/>
      <c r="DM3" s="42"/>
      <c r="DN3" s="40"/>
      <c r="DO3" s="41"/>
      <c r="DP3" s="41"/>
      <c r="DQ3" s="41"/>
      <c r="DR3" s="41"/>
      <c r="DS3" s="42"/>
      <c r="DT3" s="40"/>
      <c r="DU3" s="41"/>
      <c r="DV3" s="41"/>
      <c r="DW3" s="41"/>
      <c r="DX3" s="41"/>
      <c r="DY3" s="42"/>
      <c r="DZ3" s="40"/>
      <c r="EA3" s="41"/>
      <c r="EB3" s="41"/>
      <c r="EC3" s="41"/>
      <c r="ED3" s="41"/>
      <c r="EE3" s="42"/>
      <c r="EF3" s="133" t="s">
        <v>124</v>
      </c>
      <c r="EG3" s="43"/>
      <c r="EH3" s="43"/>
      <c r="EI3" s="44"/>
      <c r="EK3"/>
      <c r="EL3"/>
      <c r="EM3"/>
      <c r="EN3"/>
    </row>
    <row r="4" spans="1:144" ht="24" customHeight="1" thickBot="1" x14ac:dyDescent="0.3">
      <c r="B4" s="219"/>
      <c r="C4" s="61"/>
      <c r="D4" s="40" t="s">
        <v>244</v>
      </c>
      <c r="E4" s="41"/>
      <c r="F4" s="41"/>
      <c r="G4" s="41"/>
      <c r="H4" s="41"/>
      <c r="I4" s="42"/>
      <c r="J4" s="40" t="s">
        <v>245</v>
      </c>
      <c r="K4" s="41"/>
      <c r="L4" s="41"/>
      <c r="M4" s="41"/>
      <c r="N4" s="41"/>
      <c r="O4" s="42"/>
      <c r="P4" s="40" t="s">
        <v>246</v>
      </c>
      <c r="Q4" s="41"/>
      <c r="R4" s="41"/>
      <c r="S4" s="41"/>
      <c r="T4" s="41"/>
      <c r="U4" s="42"/>
      <c r="V4" s="40" t="s">
        <v>247</v>
      </c>
      <c r="W4" s="41"/>
      <c r="X4" s="41"/>
      <c r="Y4" s="41"/>
      <c r="Z4" s="41"/>
      <c r="AA4" s="41"/>
      <c r="AB4" s="40" t="s">
        <v>248</v>
      </c>
      <c r="AC4" s="41"/>
      <c r="AD4" s="41"/>
      <c r="AE4" s="41"/>
      <c r="AF4" s="41"/>
      <c r="AG4" s="42"/>
      <c r="AH4" s="41" t="s">
        <v>249</v>
      </c>
      <c r="AI4" s="41"/>
      <c r="AJ4" s="41"/>
      <c r="AK4" s="41"/>
      <c r="AL4" s="41"/>
      <c r="AM4" s="42"/>
      <c r="AN4" s="40" t="s">
        <v>250</v>
      </c>
      <c r="AO4" s="41"/>
      <c r="AP4" s="41"/>
      <c r="AQ4" s="41"/>
      <c r="AR4" s="41"/>
      <c r="AS4" s="42"/>
      <c r="AT4" s="40" t="s">
        <v>251</v>
      </c>
      <c r="AU4" s="41"/>
      <c r="AV4" s="41"/>
      <c r="AW4" s="41"/>
      <c r="AX4" s="41"/>
      <c r="AY4" s="42"/>
      <c r="AZ4" s="40" t="s">
        <v>252</v>
      </c>
      <c r="BA4" s="41"/>
      <c r="BB4" s="41"/>
      <c r="BC4" s="41"/>
      <c r="BD4" s="41"/>
      <c r="BE4" s="42"/>
      <c r="BF4" s="40" t="s">
        <v>253</v>
      </c>
      <c r="BG4" s="41"/>
      <c r="BH4" s="41"/>
      <c r="BI4" s="41"/>
      <c r="BJ4" s="41"/>
      <c r="BK4" s="42"/>
      <c r="BL4" s="40" t="s">
        <v>254</v>
      </c>
      <c r="BM4" s="41"/>
      <c r="BN4" s="41"/>
      <c r="BO4" s="41"/>
      <c r="BP4" s="41"/>
      <c r="BQ4" s="42"/>
      <c r="BR4" s="40" t="s">
        <v>255</v>
      </c>
      <c r="BS4" s="41"/>
      <c r="BT4" s="41"/>
      <c r="BU4" s="41"/>
      <c r="BV4" s="41"/>
      <c r="BW4" s="42"/>
      <c r="BX4" s="40" t="s">
        <v>256</v>
      </c>
      <c r="BY4" s="41"/>
      <c r="BZ4" s="41"/>
      <c r="CA4" s="41"/>
      <c r="CB4" s="41"/>
      <c r="CC4" s="42"/>
      <c r="CD4" s="40" t="s">
        <v>257</v>
      </c>
      <c r="CE4" s="41"/>
      <c r="CF4" s="41"/>
      <c r="CG4" s="41"/>
      <c r="CH4" s="41"/>
      <c r="CI4" s="42"/>
      <c r="CJ4" s="40" t="s">
        <v>258</v>
      </c>
      <c r="CK4" s="41"/>
      <c r="CL4" s="41"/>
      <c r="CM4" s="41"/>
      <c r="CN4" s="41"/>
      <c r="CO4" s="42"/>
      <c r="CP4" s="40" t="s">
        <v>259</v>
      </c>
      <c r="CQ4" s="41"/>
      <c r="CR4" s="41"/>
      <c r="CS4" s="41"/>
      <c r="CT4" s="41"/>
      <c r="CU4" s="42"/>
      <c r="CV4" s="40" t="s">
        <v>260</v>
      </c>
      <c r="CW4" s="41"/>
      <c r="CX4" s="41"/>
      <c r="CY4" s="41"/>
      <c r="CZ4" s="41"/>
      <c r="DA4" s="42"/>
      <c r="DB4" s="40" t="s">
        <v>261</v>
      </c>
      <c r="DC4" s="41"/>
      <c r="DD4" s="41"/>
      <c r="DE4" s="41"/>
      <c r="DF4" s="41"/>
      <c r="DG4" s="42"/>
      <c r="DH4" s="40" t="s">
        <v>262</v>
      </c>
      <c r="DI4" s="41"/>
      <c r="DJ4" s="41"/>
      <c r="DK4" s="41"/>
      <c r="DL4" s="41"/>
      <c r="DM4" s="42"/>
      <c r="DN4" s="40" t="s">
        <v>263</v>
      </c>
      <c r="DO4" s="41"/>
      <c r="DP4" s="41"/>
      <c r="DQ4" s="41"/>
      <c r="DR4" s="41"/>
      <c r="DS4" s="42"/>
      <c r="DT4" s="40" t="s">
        <v>264</v>
      </c>
      <c r="DU4" s="41"/>
      <c r="DV4" s="41"/>
      <c r="DW4" s="41"/>
      <c r="DX4" s="41"/>
      <c r="DY4" s="42"/>
      <c r="DZ4" s="40" t="s">
        <v>265</v>
      </c>
      <c r="EA4" s="41"/>
      <c r="EB4" s="41"/>
      <c r="EC4" s="41"/>
      <c r="ED4" s="41"/>
      <c r="EE4" s="42"/>
      <c r="EF4" s="132" t="str">
        <f>CONCATENATE(COUNT(EF6:EF91,EH6:EH91)," VIAGENS")</f>
        <v>0 VIAGENS</v>
      </c>
      <c r="EG4" s="41"/>
      <c r="EH4" s="41"/>
      <c r="EI4" s="42"/>
    </row>
    <row r="5" spans="1:144" ht="24" customHeight="1" thickBot="1" x14ac:dyDescent="0.3">
      <c r="B5" s="219"/>
      <c r="C5" s="204" t="s">
        <v>5</v>
      </c>
      <c r="D5" s="58" t="s">
        <v>0</v>
      </c>
      <c r="E5" s="58" t="s">
        <v>1</v>
      </c>
      <c r="F5" s="58" t="s">
        <v>2</v>
      </c>
      <c r="G5" s="58" t="s">
        <v>3</v>
      </c>
      <c r="H5" s="58" t="s">
        <v>4</v>
      </c>
      <c r="I5" s="58" t="s">
        <v>12</v>
      </c>
      <c r="J5" s="58" t="s">
        <v>0</v>
      </c>
      <c r="K5" s="58" t="s">
        <v>1</v>
      </c>
      <c r="L5" s="58" t="s">
        <v>2</v>
      </c>
      <c r="M5" s="58" t="s">
        <v>3</v>
      </c>
      <c r="N5" s="58" t="s">
        <v>4</v>
      </c>
      <c r="O5" s="58" t="s">
        <v>12</v>
      </c>
      <c r="P5" s="58" t="s">
        <v>0</v>
      </c>
      <c r="Q5" s="58" t="s">
        <v>1</v>
      </c>
      <c r="R5" s="35" t="s">
        <v>2</v>
      </c>
      <c r="S5" s="58" t="s">
        <v>3</v>
      </c>
      <c r="T5" s="35" t="s">
        <v>4</v>
      </c>
      <c r="U5" s="58" t="s">
        <v>12</v>
      </c>
      <c r="V5" s="34" t="s">
        <v>0</v>
      </c>
      <c r="W5" s="58" t="s">
        <v>1</v>
      </c>
      <c r="X5" s="35" t="s">
        <v>2</v>
      </c>
      <c r="Y5" s="58" t="s">
        <v>3</v>
      </c>
      <c r="Z5" s="35" t="s">
        <v>4</v>
      </c>
      <c r="AA5" s="34" t="s">
        <v>12</v>
      </c>
      <c r="AB5" s="34" t="s">
        <v>0</v>
      </c>
      <c r="AC5" s="58" t="s">
        <v>1</v>
      </c>
      <c r="AD5" s="35" t="s">
        <v>2</v>
      </c>
      <c r="AE5" s="58" t="s">
        <v>3</v>
      </c>
      <c r="AF5" s="35" t="s">
        <v>4</v>
      </c>
      <c r="AG5" s="58" t="s">
        <v>12</v>
      </c>
      <c r="AH5" s="35" t="s">
        <v>0</v>
      </c>
      <c r="AI5" s="58" t="s">
        <v>1</v>
      </c>
      <c r="AJ5" s="35" t="s">
        <v>2</v>
      </c>
      <c r="AK5" s="58" t="s">
        <v>3</v>
      </c>
      <c r="AL5" s="35" t="s">
        <v>4</v>
      </c>
      <c r="AM5" s="58" t="s">
        <v>12</v>
      </c>
      <c r="AN5" s="34" t="s">
        <v>0</v>
      </c>
      <c r="AO5" s="58" t="s">
        <v>1</v>
      </c>
      <c r="AP5" s="35" t="s">
        <v>2</v>
      </c>
      <c r="AQ5" s="58" t="s">
        <v>3</v>
      </c>
      <c r="AR5" s="35" t="s">
        <v>4</v>
      </c>
      <c r="AS5" s="58" t="s">
        <v>12</v>
      </c>
      <c r="AT5" s="34" t="s">
        <v>0</v>
      </c>
      <c r="AU5" s="58" t="s">
        <v>1</v>
      </c>
      <c r="AV5" s="35" t="s">
        <v>2</v>
      </c>
      <c r="AW5" s="58" t="s">
        <v>3</v>
      </c>
      <c r="AX5" s="35" t="s">
        <v>4</v>
      </c>
      <c r="AY5" s="58" t="s">
        <v>12</v>
      </c>
      <c r="AZ5" s="34" t="s">
        <v>0</v>
      </c>
      <c r="BA5" s="58" t="s">
        <v>1</v>
      </c>
      <c r="BB5" s="35" t="s">
        <v>2</v>
      </c>
      <c r="BC5" s="58" t="s">
        <v>3</v>
      </c>
      <c r="BD5" s="35" t="s">
        <v>4</v>
      </c>
      <c r="BE5" s="58" t="s">
        <v>12</v>
      </c>
      <c r="BF5" s="34" t="s">
        <v>0</v>
      </c>
      <c r="BG5" s="58" t="s">
        <v>1</v>
      </c>
      <c r="BH5" s="35" t="s">
        <v>2</v>
      </c>
      <c r="BI5" s="58" t="s">
        <v>3</v>
      </c>
      <c r="BJ5" s="35" t="s">
        <v>4</v>
      </c>
      <c r="BK5" s="58" t="s">
        <v>12</v>
      </c>
      <c r="BL5" s="34" t="s">
        <v>0</v>
      </c>
      <c r="BM5" s="58" t="s">
        <v>1</v>
      </c>
      <c r="BN5" s="35" t="s">
        <v>2</v>
      </c>
      <c r="BO5" s="58" t="s">
        <v>3</v>
      </c>
      <c r="BP5" s="35" t="s">
        <v>4</v>
      </c>
      <c r="BQ5" s="58" t="s">
        <v>12</v>
      </c>
      <c r="BR5" s="34" t="s">
        <v>0</v>
      </c>
      <c r="BS5" s="58" t="s">
        <v>1</v>
      </c>
      <c r="BT5" s="35" t="s">
        <v>2</v>
      </c>
      <c r="BU5" s="58" t="s">
        <v>3</v>
      </c>
      <c r="BV5" s="35" t="s">
        <v>4</v>
      </c>
      <c r="BW5" s="58" t="s">
        <v>12</v>
      </c>
      <c r="BX5" s="34" t="s">
        <v>0</v>
      </c>
      <c r="BY5" s="58" t="s">
        <v>1</v>
      </c>
      <c r="BZ5" s="35" t="s">
        <v>2</v>
      </c>
      <c r="CA5" s="58" t="s">
        <v>3</v>
      </c>
      <c r="CB5" s="35" t="s">
        <v>4</v>
      </c>
      <c r="CC5" s="58" t="s">
        <v>12</v>
      </c>
      <c r="CD5" s="34" t="s">
        <v>0</v>
      </c>
      <c r="CE5" s="58" t="s">
        <v>1</v>
      </c>
      <c r="CF5" s="35" t="s">
        <v>2</v>
      </c>
      <c r="CG5" s="58" t="s">
        <v>3</v>
      </c>
      <c r="CH5" s="35" t="s">
        <v>4</v>
      </c>
      <c r="CI5" s="58" t="s">
        <v>12</v>
      </c>
      <c r="CJ5" s="34" t="s">
        <v>0</v>
      </c>
      <c r="CK5" s="58" t="s">
        <v>1</v>
      </c>
      <c r="CL5" s="35" t="s">
        <v>2</v>
      </c>
      <c r="CM5" s="58" t="s">
        <v>3</v>
      </c>
      <c r="CN5" s="35" t="s">
        <v>4</v>
      </c>
      <c r="CO5" s="58" t="s">
        <v>12</v>
      </c>
      <c r="CP5" s="34" t="s">
        <v>0</v>
      </c>
      <c r="CQ5" s="58" t="s">
        <v>1</v>
      </c>
      <c r="CR5" s="35" t="s">
        <v>2</v>
      </c>
      <c r="CS5" s="58" t="s">
        <v>3</v>
      </c>
      <c r="CT5" s="35" t="s">
        <v>4</v>
      </c>
      <c r="CU5" s="58" t="s">
        <v>12</v>
      </c>
      <c r="CV5" s="34" t="s">
        <v>0</v>
      </c>
      <c r="CW5" s="58" t="s">
        <v>1</v>
      </c>
      <c r="CX5" s="35" t="s">
        <v>2</v>
      </c>
      <c r="CY5" s="58" t="s">
        <v>3</v>
      </c>
      <c r="CZ5" s="35" t="s">
        <v>4</v>
      </c>
      <c r="DA5" s="58" t="s">
        <v>12</v>
      </c>
      <c r="DB5" s="34" t="s">
        <v>0</v>
      </c>
      <c r="DC5" s="58" t="s">
        <v>1</v>
      </c>
      <c r="DD5" s="35" t="s">
        <v>2</v>
      </c>
      <c r="DE5" s="58" t="s">
        <v>3</v>
      </c>
      <c r="DF5" s="35" t="s">
        <v>4</v>
      </c>
      <c r="DG5" s="58" t="s">
        <v>12</v>
      </c>
      <c r="DH5" s="34" t="s">
        <v>0</v>
      </c>
      <c r="DI5" s="58" t="s">
        <v>1</v>
      </c>
      <c r="DJ5" s="35" t="s">
        <v>2</v>
      </c>
      <c r="DK5" s="58" t="s">
        <v>3</v>
      </c>
      <c r="DL5" s="35" t="s">
        <v>4</v>
      </c>
      <c r="DM5" s="58" t="s">
        <v>12</v>
      </c>
      <c r="DN5" s="34" t="s">
        <v>0</v>
      </c>
      <c r="DO5" s="58" t="s">
        <v>1</v>
      </c>
      <c r="DP5" s="35" t="s">
        <v>2</v>
      </c>
      <c r="DQ5" s="58" t="s">
        <v>3</v>
      </c>
      <c r="DR5" s="35" t="s">
        <v>4</v>
      </c>
      <c r="DS5" s="58" t="s">
        <v>12</v>
      </c>
      <c r="DT5" s="34" t="s">
        <v>0</v>
      </c>
      <c r="DU5" s="58" t="s">
        <v>1</v>
      </c>
      <c r="DV5" s="35" t="s">
        <v>2</v>
      </c>
      <c r="DW5" s="58" t="s">
        <v>3</v>
      </c>
      <c r="DX5" s="35" t="s">
        <v>4</v>
      </c>
      <c r="DY5" s="58" t="s">
        <v>12</v>
      </c>
      <c r="DZ5" s="34" t="s">
        <v>0</v>
      </c>
      <c r="EA5" s="58" t="s">
        <v>1</v>
      </c>
      <c r="EB5" s="35" t="s">
        <v>2</v>
      </c>
      <c r="EC5" s="58" t="s">
        <v>3</v>
      </c>
      <c r="ED5" s="35" t="s">
        <v>4</v>
      </c>
      <c r="EE5" s="58" t="s">
        <v>12</v>
      </c>
      <c r="EF5" s="1" t="s">
        <v>8</v>
      </c>
      <c r="EG5" s="2" t="s">
        <v>9</v>
      </c>
      <c r="EH5" s="1" t="s">
        <v>8</v>
      </c>
      <c r="EI5" s="2" t="s">
        <v>9</v>
      </c>
    </row>
    <row r="6" spans="1:144" ht="24" customHeight="1" x14ac:dyDescent="0.25">
      <c r="B6" s="219"/>
      <c r="C6" s="205"/>
      <c r="D6" s="67"/>
      <c r="E6" s="63"/>
      <c r="F6" s="63"/>
      <c r="G6" s="64"/>
      <c r="H6" s="65"/>
      <c r="I6" s="66"/>
      <c r="J6" s="67"/>
      <c r="K6" s="63"/>
      <c r="L6" s="63"/>
      <c r="M6" s="64"/>
      <c r="N6" s="65"/>
      <c r="O6" s="66"/>
      <c r="P6" s="62"/>
      <c r="Q6" s="63"/>
      <c r="R6" s="63"/>
      <c r="S6" s="64"/>
      <c r="T6" s="65"/>
      <c r="U6" s="66"/>
      <c r="V6" s="62"/>
      <c r="W6" s="63"/>
      <c r="X6" s="63"/>
      <c r="Y6" s="64"/>
      <c r="Z6" s="65"/>
      <c r="AA6" s="140"/>
      <c r="AB6" s="62"/>
      <c r="AC6" s="63"/>
      <c r="AD6" s="63"/>
      <c r="AE6" s="64"/>
      <c r="AF6" s="65"/>
      <c r="AG6" s="66"/>
      <c r="AH6" s="67"/>
      <c r="AI6" s="63"/>
      <c r="AJ6" s="63"/>
      <c r="AK6" s="64"/>
      <c r="AL6" s="65"/>
      <c r="AM6" s="66"/>
      <c r="AN6" s="62"/>
      <c r="AO6" s="63"/>
      <c r="AP6" s="63"/>
      <c r="AQ6" s="64"/>
      <c r="AR6" s="65"/>
      <c r="AS6" s="66"/>
      <c r="AT6" s="62"/>
      <c r="AU6" s="63"/>
      <c r="AV6" s="63"/>
      <c r="AW6" s="64"/>
      <c r="AX6" s="65"/>
      <c r="AY6" s="66"/>
      <c r="AZ6" s="62"/>
      <c r="BA6" s="63"/>
      <c r="BB6" s="63"/>
      <c r="BC6" s="64"/>
      <c r="BD6" s="65"/>
      <c r="BE6" s="66"/>
      <c r="BF6" s="62"/>
      <c r="BG6" s="63"/>
      <c r="BH6" s="63"/>
      <c r="BI6" s="64"/>
      <c r="BJ6" s="65"/>
      <c r="BK6" s="66"/>
      <c r="BL6" s="62"/>
      <c r="BM6" s="63"/>
      <c r="BN6" s="63"/>
      <c r="BO6" s="64"/>
      <c r="BP6" s="65"/>
      <c r="BQ6" s="66"/>
      <c r="BR6" s="62"/>
      <c r="BS6" s="63"/>
      <c r="BT6" s="63"/>
      <c r="BU6" s="64"/>
      <c r="BV6" s="65"/>
      <c r="BW6" s="66"/>
      <c r="BX6" s="62"/>
      <c r="BY6" s="63"/>
      <c r="BZ6" s="63"/>
      <c r="CA6" s="64"/>
      <c r="CB6" s="65"/>
      <c r="CC6" s="66"/>
      <c r="CD6" s="62"/>
      <c r="CE6" s="63"/>
      <c r="CF6" s="63"/>
      <c r="CG6" s="64"/>
      <c r="CH6" s="65"/>
      <c r="CI6" s="66"/>
      <c r="CJ6" s="62"/>
      <c r="CK6" s="63"/>
      <c r="CL6" s="63"/>
      <c r="CM6" s="64"/>
      <c r="CN6" s="65"/>
      <c r="CO6" s="66"/>
      <c r="CP6" s="62"/>
      <c r="CQ6" s="63"/>
      <c r="CR6" s="63"/>
      <c r="CS6" s="64"/>
      <c r="CT6" s="65"/>
      <c r="CU6" s="66"/>
      <c r="CV6" s="62"/>
      <c r="CW6" s="63"/>
      <c r="CX6" s="63"/>
      <c r="CY6" s="64"/>
      <c r="CZ6" s="65"/>
      <c r="DA6" s="66"/>
      <c r="DB6" s="62"/>
      <c r="DC6" s="63"/>
      <c r="DD6" s="63"/>
      <c r="DE6" s="64"/>
      <c r="DF6" s="65"/>
      <c r="DG6" s="66"/>
      <c r="DH6" s="62"/>
      <c r="DI6" s="63"/>
      <c r="DJ6" s="63"/>
      <c r="DK6" s="64"/>
      <c r="DL6" s="65"/>
      <c r="DM6" s="66"/>
      <c r="DN6" s="62"/>
      <c r="DO6" s="63"/>
      <c r="DP6" s="63"/>
      <c r="DQ6" s="64"/>
      <c r="DR6" s="65"/>
      <c r="DS6" s="66"/>
      <c r="DT6" s="62"/>
      <c r="DU6" s="63"/>
      <c r="DV6" s="63"/>
      <c r="DW6" s="64"/>
      <c r="DX6" s="65"/>
      <c r="DY6" s="66"/>
      <c r="DZ6" s="62"/>
      <c r="EA6" s="63"/>
      <c r="EB6" s="63"/>
      <c r="EC6" s="64"/>
      <c r="ED6" s="65"/>
      <c r="EE6" s="66"/>
      <c r="EF6" s="9"/>
      <c r="EG6" s="13"/>
      <c r="EH6" s="10"/>
      <c r="EI6" s="14"/>
    </row>
    <row r="7" spans="1:144" ht="24" customHeight="1" x14ac:dyDescent="0.25">
      <c r="B7" s="219"/>
      <c r="C7" s="205"/>
      <c r="D7" s="57"/>
      <c r="E7" s="12"/>
      <c r="F7" s="12"/>
      <c r="G7" s="7"/>
      <c r="H7" s="6"/>
      <c r="I7" s="8"/>
      <c r="J7" s="57"/>
      <c r="K7" s="12"/>
      <c r="L7" s="12"/>
      <c r="M7" s="7"/>
      <c r="N7" s="6"/>
      <c r="O7" s="8"/>
      <c r="P7" s="57"/>
      <c r="Q7" s="12"/>
      <c r="R7" s="12"/>
      <c r="S7" s="7"/>
      <c r="T7" s="6"/>
      <c r="U7" s="8"/>
      <c r="V7" s="57"/>
      <c r="W7" s="12"/>
      <c r="X7" s="12"/>
      <c r="Y7" s="7"/>
      <c r="Z7" s="6"/>
      <c r="AA7" s="141"/>
      <c r="AB7" s="11"/>
      <c r="AC7" s="12"/>
      <c r="AD7" s="12"/>
      <c r="AE7" s="7"/>
      <c r="AF7" s="6"/>
      <c r="AG7" s="8"/>
      <c r="AH7" s="57"/>
      <c r="AI7" s="12"/>
      <c r="AJ7" s="12"/>
      <c r="AK7" s="7"/>
      <c r="AL7" s="6"/>
      <c r="AM7" s="8"/>
      <c r="AN7" s="11"/>
      <c r="AO7" s="12"/>
      <c r="AP7" s="12"/>
      <c r="AQ7" s="7"/>
      <c r="AR7" s="6"/>
      <c r="AS7" s="8"/>
      <c r="AT7" s="11"/>
      <c r="AU7" s="12"/>
      <c r="AV7" s="12"/>
      <c r="AW7" s="7"/>
      <c r="AX7" s="6"/>
      <c r="AY7" s="8"/>
      <c r="AZ7" s="11"/>
      <c r="BA7" s="12"/>
      <c r="BB7" s="12"/>
      <c r="BC7" s="7"/>
      <c r="BD7" s="6"/>
      <c r="BE7" s="8"/>
      <c r="BF7" s="11"/>
      <c r="BG7" s="12"/>
      <c r="BH7" s="12"/>
      <c r="BI7" s="7"/>
      <c r="BJ7" s="6"/>
      <c r="BK7" s="8"/>
      <c r="BL7" s="11"/>
      <c r="BM7" s="12"/>
      <c r="BN7" s="12"/>
      <c r="BO7" s="7"/>
      <c r="BP7" s="6"/>
      <c r="BQ7" s="8"/>
      <c r="BR7" s="11"/>
      <c r="BS7" s="12"/>
      <c r="BT7" s="12"/>
      <c r="BU7" s="7"/>
      <c r="BV7" s="6"/>
      <c r="BW7" s="8"/>
      <c r="BX7" s="11"/>
      <c r="BY7" s="12"/>
      <c r="BZ7" s="12"/>
      <c r="CA7" s="7"/>
      <c r="CB7" s="6"/>
      <c r="CC7" s="8"/>
      <c r="CD7" s="11"/>
      <c r="CE7" s="12"/>
      <c r="CF7" s="12"/>
      <c r="CG7" s="7"/>
      <c r="CH7" s="6"/>
      <c r="CI7" s="8"/>
      <c r="CJ7" s="11"/>
      <c r="CK7" s="12"/>
      <c r="CL7" s="12"/>
      <c r="CM7" s="7"/>
      <c r="CN7" s="6"/>
      <c r="CO7" s="8"/>
      <c r="CP7" s="11"/>
      <c r="CQ7" s="12"/>
      <c r="CR7" s="12"/>
      <c r="CS7" s="7"/>
      <c r="CT7" s="6"/>
      <c r="CU7" s="8"/>
      <c r="CV7" s="11"/>
      <c r="CW7" s="12"/>
      <c r="CX7" s="12"/>
      <c r="CY7" s="7"/>
      <c r="CZ7" s="6"/>
      <c r="DA7" s="8"/>
      <c r="DB7" s="11"/>
      <c r="DC7" s="12"/>
      <c r="DD7" s="12"/>
      <c r="DE7" s="7"/>
      <c r="DF7" s="6"/>
      <c r="DG7" s="8"/>
      <c r="DH7" s="11"/>
      <c r="DI7" s="12"/>
      <c r="DJ7" s="12"/>
      <c r="DK7" s="7"/>
      <c r="DL7" s="6"/>
      <c r="DM7" s="8"/>
      <c r="DN7" s="11"/>
      <c r="DO7" s="12"/>
      <c r="DP7" s="12"/>
      <c r="DQ7" s="7"/>
      <c r="DR7" s="6"/>
      <c r="DS7" s="8"/>
      <c r="DT7" s="11"/>
      <c r="DU7" s="12"/>
      <c r="DV7" s="12"/>
      <c r="DW7" s="7"/>
      <c r="DX7" s="6"/>
      <c r="DY7" s="8"/>
      <c r="DZ7" s="11"/>
      <c r="EA7" s="12"/>
      <c r="EB7" s="12"/>
      <c r="EC7" s="7"/>
      <c r="ED7" s="6"/>
      <c r="EE7" s="8"/>
      <c r="EF7" s="11"/>
      <c r="EG7" s="15">
        <f>EF7-EF6</f>
        <v>0</v>
      </c>
      <c r="EH7" s="12"/>
      <c r="EI7" s="16"/>
    </row>
    <row r="8" spans="1:144" ht="24" customHeight="1" x14ac:dyDescent="0.25">
      <c r="B8" s="219"/>
      <c r="C8" s="205"/>
      <c r="D8" s="57"/>
      <c r="E8" s="12"/>
      <c r="F8" s="12"/>
      <c r="G8" s="7"/>
      <c r="H8" s="6"/>
      <c r="I8" s="8"/>
      <c r="J8" s="57"/>
      <c r="K8" s="12"/>
      <c r="L8" s="12"/>
      <c r="M8" s="7"/>
      <c r="N8" s="6"/>
      <c r="O8" s="8"/>
      <c r="P8" s="57"/>
      <c r="Q8" s="12"/>
      <c r="R8" s="12"/>
      <c r="S8" s="7"/>
      <c r="T8" s="6"/>
      <c r="U8" s="8"/>
      <c r="V8" s="57"/>
      <c r="W8" s="12"/>
      <c r="X8" s="12"/>
      <c r="Y8" s="7"/>
      <c r="Z8" s="6"/>
      <c r="AA8" s="141"/>
      <c r="AB8" s="11"/>
      <c r="AC8" s="12"/>
      <c r="AD8" s="12"/>
      <c r="AE8" s="7"/>
      <c r="AF8" s="6"/>
      <c r="AG8" s="8"/>
      <c r="AH8" s="57"/>
      <c r="AI8" s="12"/>
      <c r="AJ8" s="12"/>
      <c r="AK8" s="7"/>
      <c r="AL8" s="6"/>
      <c r="AM8" s="8"/>
      <c r="AN8" s="11"/>
      <c r="AO8" s="12"/>
      <c r="AP8" s="12"/>
      <c r="AQ8" s="7"/>
      <c r="AR8" s="6"/>
      <c r="AS8" s="8"/>
      <c r="AT8" s="11"/>
      <c r="AU8" s="12"/>
      <c r="AV8" s="12"/>
      <c r="AW8" s="7"/>
      <c r="AX8" s="6"/>
      <c r="AY8" s="8"/>
      <c r="AZ8" s="11"/>
      <c r="BA8" s="12"/>
      <c r="BB8" s="12"/>
      <c r="BC8" s="7"/>
      <c r="BD8" s="6"/>
      <c r="BE8" s="8"/>
      <c r="BF8" s="11"/>
      <c r="BG8" s="12"/>
      <c r="BH8" s="12"/>
      <c r="BI8" s="7"/>
      <c r="BJ8" s="6"/>
      <c r="BK8" s="8"/>
      <c r="BL8" s="11"/>
      <c r="BM8" s="12"/>
      <c r="BN8" s="12"/>
      <c r="BO8" s="7"/>
      <c r="BP8" s="6"/>
      <c r="BQ8" s="8"/>
      <c r="BR8" s="11"/>
      <c r="BS8" s="12"/>
      <c r="BT8" s="12"/>
      <c r="BU8" s="7"/>
      <c r="BV8" s="6"/>
      <c r="BW8" s="8"/>
      <c r="BX8" s="11"/>
      <c r="BY8" s="12"/>
      <c r="BZ8" s="12"/>
      <c r="CA8" s="7"/>
      <c r="CB8" s="6"/>
      <c r="CC8" s="8"/>
      <c r="CD8" s="11"/>
      <c r="CE8" s="12"/>
      <c r="CF8" s="12"/>
      <c r="CG8" s="7"/>
      <c r="CH8" s="6"/>
      <c r="CI8" s="8"/>
      <c r="CJ8" s="11"/>
      <c r="CK8" s="12"/>
      <c r="CL8" s="12"/>
      <c r="CM8" s="7"/>
      <c r="CN8" s="6"/>
      <c r="CO8" s="8"/>
      <c r="CP8" s="11"/>
      <c r="CQ8" s="12"/>
      <c r="CR8" s="12"/>
      <c r="CS8" s="7"/>
      <c r="CT8" s="6"/>
      <c r="CU8" s="8"/>
      <c r="CV8" s="11"/>
      <c r="CW8" s="12"/>
      <c r="CX8" s="12"/>
      <c r="CY8" s="7"/>
      <c r="CZ8" s="6"/>
      <c r="DA8" s="8"/>
      <c r="DB8" s="11"/>
      <c r="DC8" s="12"/>
      <c r="DD8" s="12"/>
      <c r="DE8" s="7"/>
      <c r="DF8" s="6"/>
      <c r="DG8" s="8"/>
      <c r="DH8" s="11"/>
      <c r="DI8" s="12"/>
      <c r="DJ8" s="12"/>
      <c r="DK8" s="7"/>
      <c r="DL8" s="6"/>
      <c r="DM8" s="8"/>
      <c r="DN8" s="11"/>
      <c r="DO8" s="12"/>
      <c r="DP8" s="12"/>
      <c r="DQ8" s="7"/>
      <c r="DR8" s="6"/>
      <c r="DS8" s="8"/>
      <c r="DT8" s="11"/>
      <c r="DU8" s="12"/>
      <c r="DV8" s="12"/>
      <c r="DW8" s="7"/>
      <c r="DX8" s="6"/>
      <c r="DY8" s="8"/>
      <c r="DZ8" s="11"/>
      <c r="EA8" s="12"/>
      <c r="EB8" s="12"/>
      <c r="EC8" s="7"/>
      <c r="ED8" s="6"/>
      <c r="EE8" s="8"/>
      <c r="EF8" s="11"/>
      <c r="EG8" s="15"/>
      <c r="EH8" s="12"/>
      <c r="EI8" s="16"/>
    </row>
    <row r="9" spans="1:144" ht="24" customHeight="1" x14ac:dyDescent="0.25">
      <c r="B9" s="219"/>
      <c r="C9" s="205"/>
      <c r="D9" s="57"/>
      <c r="E9" s="12"/>
      <c r="F9" s="12"/>
      <c r="G9" s="7"/>
      <c r="H9" s="6"/>
      <c r="I9" s="8"/>
      <c r="J9" s="57"/>
      <c r="K9" s="12"/>
      <c r="L9" s="12"/>
      <c r="M9" s="7"/>
      <c r="N9" s="6"/>
      <c r="O9" s="8"/>
      <c r="P9" s="57"/>
      <c r="Q9" s="12"/>
      <c r="R9" s="12"/>
      <c r="S9" s="7"/>
      <c r="T9" s="6"/>
      <c r="U9" s="8"/>
      <c r="V9" s="57"/>
      <c r="W9" s="12"/>
      <c r="X9" s="12"/>
      <c r="Y9" s="7"/>
      <c r="Z9" s="6"/>
      <c r="AA9" s="141"/>
      <c r="AB9" s="11"/>
      <c r="AC9" s="12"/>
      <c r="AD9" s="12"/>
      <c r="AE9" s="7"/>
      <c r="AF9" s="6"/>
      <c r="AG9" s="8"/>
      <c r="AH9" s="57"/>
      <c r="AI9" s="12"/>
      <c r="AJ9" s="12"/>
      <c r="AK9" s="7"/>
      <c r="AL9" s="6"/>
      <c r="AM9" s="8"/>
      <c r="AN9" s="11"/>
      <c r="AO9" s="12"/>
      <c r="AP9" s="12"/>
      <c r="AQ9" s="7"/>
      <c r="AR9" s="6"/>
      <c r="AS9" s="8"/>
      <c r="AT9" s="11"/>
      <c r="AU9" s="12"/>
      <c r="AV9" s="12"/>
      <c r="AW9" s="7"/>
      <c r="AX9" s="6"/>
      <c r="AY9" s="8"/>
      <c r="AZ9" s="11"/>
      <c r="BA9" s="12"/>
      <c r="BB9" s="12"/>
      <c r="BC9" s="7"/>
      <c r="BD9" s="6"/>
      <c r="BE9" s="8"/>
      <c r="BF9" s="11"/>
      <c r="BG9" s="12"/>
      <c r="BH9" s="12"/>
      <c r="BI9" s="7"/>
      <c r="BJ9" s="6"/>
      <c r="BK9" s="8"/>
      <c r="BL9" s="11"/>
      <c r="BM9" s="12"/>
      <c r="BN9" s="12"/>
      <c r="BO9" s="7"/>
      <c r="BP9" s="6"/>
      <c r="BQ9" s="8"/>
      <c r="BR9" s="11"/>
      <c r="BS9" s="12"/>
      <c r="BT9" s="12"/>
      <c r="BU9" s="7"/>
      <c r="BV9" s="6"/>
      <c r="BW9" s="8"/>
      <c r="BX9" s="11"/>
      <c r="BY9" s="12"/>
      <c r="BZ9" s="12"/>
      <c r="CA9" s="7"/>
      <c r="CB9" s="6"/>
      <c r="CC9" s="8"/>
      <c r="CD9" s="11"/>
      <c r="CE9" s="12"/>
      <c r="CF9" s="12"/>
      <c r="CG9" s="7"/>
      <c r="CH9" s="6"/>
      <c r="CI9" s="8"/>
      <c r="CJ9" s="11"/>
      <c r="CK9" s="12"/>
      <c r="CL9" s="12"/>
      <c r="CM9" s="7"/>
      <c r="CN9" s="6"/>
      <c r="CO9" s="8"/>
      <c r="CP9" s="11"/>
      <c r="CQ9" s="12"/>
      <c r="CR9" s="12"/>
      <c r="CS9" s="7"/>
      <c r="CT9" s="6"/>
      <c r="CU9" s="8"/>
      <c r="CV9" s="11"/>
      <c r="CW9" s="12"/>
      <c r="CX9" s="12"/>
      <c r="CY9" s="7"/>
      <c r="CZ9" s="6"/>
      <c r="DA9" s="8"/>
      <c r="DB9" s="11"/>
      <c r="DC9" s="12"/>
      <c r="DD9" s="12"/>
      <c r="DE9" s="7"/>
      <c r="DF9" s="6"/>
      <c r="DG9" s="8"/>
      <c r="DH9" s="11"/>
      <c r="DI9" s="12"/>
      <c r="DJ9" s="12"/>
      <c r="DK9" s="7"/>
      <c r="DL9" s="6"/>
      <c r="DM9" s="8"/>
      <c r="DN9" s="11"/>
      <c r="DO9" s="12"/>
      <c r="DP9" s="12"/>
      <c r="DQ9" s="7"/>
      <c r="DR9" s="6"/>
      <c r="DS9" s="8"/>
      <c r="DT9" s="11"/>
      <c r="DU9" s="12"/>
      <c r="DV9" s="12"/>
      <c r="DW9" s="7"/>
      <c r="DX9" s="6"/>
      <c r="DY9" s="8"/>
      <c r="DZ9" s="11"/>
      <c r="EA9" s="12"/>
      <c r="EB9" s="12"/>
      <c r="EC9" s="7"/>
      <c r="ED9" s="6"/>
      <c r="EE9" s="8"/>
      <c r="EF9" s="11"/>
      <c r="EG9" s="15"/>
      <c r="EH9" s="12"/>
      <c r="EI9" s="16"/>
    </row>
    <row r="10" spans="1:144" ht="24" customHeight="1" x14ac:dyDescent="0.25">
      <c r="B10" s="219"/>
      <c r="C10" s="205"/>
      <c r="D10" s="57"/>
      <c r="E10" s="12"/>
      <c r="F10" s="12"/>
      <c r="G10" s="7"/>
      <c r="H10" s="6"/>
      <c r="I10" s="8"/>
      <c r="J10" s="57"/>
      <c r="K10" s="12"/>
      <c r="L10" s="12"/>
      <c r="M10" s="7"/>
      <c r="N10" s="6"/>
      <c r="O10" s="8"/>
      <c r="P10" s="57"/>
      <c r="Q10" s="12"/>
      <c r="R10" s="12"/>
      <c r="S10" s="7"/>
      <c r="T10" s="6"/>
      <c r="U10" s="8"/>
      <c r="V10" s="57"/>
      <c r="W10" s="12"/>
      <c r="X10" s="12"/>
      <c r="Y10" s="7"/>
      <c r="Z10" s="6"/>
      <c r="AA10" s="141"/>
      <c r="AB10" s="11"/>
      <c r="AC10" s="12"/>
      <c r="AD10" s="12"/>
      <c r="AE10" s="7"/>
      <c r="AF10" s="6"/>
      <c r="AG10" s="8"/>
      <c r="AH10" s="57"/>
      <c r="AI10" s="12"/>
      <c r="AJ10" s="12"/>
      <c r="AK10" s="7"/>
      <c r="AL10" s="6"/>
      <c r="AM10" s="8"/>
      <c r="AN10" s="11"/>
      <c r="AO10" s="12"/>
      <c r="AP10" s="12"/>
      <c r="AQ10" s="7"/>
      <c r="AR10" s="6"/>
      <c r="AS10" s="8"/>
      <c r="AT10" s="11"/>
      <c r="AU10" s="12"/>
      <c r="AV10" s="12"/>
      <c r="AW10" s="7"/>
      <c r="AX10" s="6"/>
      <c r="AY10" s="8"/>
      <c r="AZ10" s="11"/>
      <c r="BA10" s="12"/>
      <c r="BB10" s="12"/>
      <c r="BC10" s="7"/>
      <c r="BD10" s="6"/>
      <c r="BE10" s="8"/>
      <c r="BF10" s="11"/>
      <c r="BG10" s="12"/>
      <c r="BH10" s="12"/>
      <c r="BI10" s="7"/>
      <c r="BJ10" s="6"/>
      <c r="BK10" s="8"/>
      <c r="BL10" s="11"/>
      <c r="BM10" s="12"/>
      <c r="BN10" s="12"/>
      <c r="BO10" s="7"/>
      <c r="BP10" s="6"/>
      <c r="BQ10" s="8"/>
      <c r="BR10" s="11"/>
      <c r="BS10" s="12"/>
      <c r="BT10" s="12"/>
      <c r="BU10" s="7"/>
      <c r="BV10" s="6"/>
      <c r="BW10" s="8"/>
      <c r="BX10" s="11"/>
      <c r="BY10" s="12"/>
      <c r="BZ10" s="12"/>
      <c r="CA10" s="7"/>
      <c r="CB10" s="6"/>
      <c r="CC10" s="8"/>
      <c r="CD10" s="11"/>
      <c r="CE10" s="12"/>
      <c r="CF10" s="12"/>
      <c r="CG10" s="7"/>
      <c r="CH10" s="6"/>
      <c r="CI10" s="8"/>
      <c r="CJ10" s="11"/>
      <c r="CK10" s="12"/>
      <c r="CL10" s="12"/>
      <c r="CM10" s="7"/>
      <c r="CN10" s="6"/>
      <c r="CO10" s="8"/>
      <c r="CP10" s="11"/>
      <c r="CQ10" s="12"/>
      <c r="CR10" s="12"/>
      <c r="CS10" s="7"/>
      <c r="CT10" s="6"/>
      <c r="CU10" s="8"/>
      <c r="CV10" s="11"/>
      <c r="CW10" s="12"/>
      <c r="CX10" s="12"/>
      <c r="CY10" s="7"/>
      <c r="CZ10" s="6"/>
      <c r="DA10" s="8"/>
      <c r="DB10" s="11"/>
      <c r="DC10" s="12"/>
      <c r="DD10" s="12"/>
      <c r="DE10" s="7"/>
      <c r="DF10" s="6"/>
      <c r="DG10" s="8"/>
      <c r="DH10" s="11"/>
      <c r="DI10" s="12"/>
      <c r="DJ10" s="12"/>
      <c r="DK10" s="7"/>
      <c r="DL10" s="6"/>
      <c r="DM10" s="8"/>
      <c r="DN10" s="11"/>
      <c r="DO10" s="12"/>
      <c r="DP10" s="12"/>
      <c r="DQ10" s="7"/>
      <c r="DR10" s="6"/>
      <c r="DS10" s="8"/>
      <c r="DT10" s="11"/>
      <c r="DU10" s="12"/>
      <c r="DV10" s="12"/>
      <c r="DW10" s="7"/>
      <c r="DX10" s="6"/>
      <c r="DY10" s="8"/>
      <c r="DZ10" s="11"/>
      <c r="EA10" s="12"/>
      <c r="EB10" s="12"/>
      <c r="EC10" s="7"/>
      <c r="ED10" s="6"/>
      <c r="EE10" s="8"/>
      <c r="EF10" s="11"/>
      <c r="EG10" s="15"/>
      <c r="EH10" s="12"/>
      <c r="EI10" s="16"/>
    </row>
    <row r="11" spans="1:144" ht="24" customHeight="1" x14ac:dyDescent="0.25">
      <c r="B11" s="219"/>
      <c r="C11" s="205"/>
      <c r="D11" s="57"/>
      <c r="E11" s="12"/>
      <c r="F11" s="12"/>
      <c r="G11" s="7"/>
      <c r="H11" s="6"/>
      <c r="I11" s="8"/>
      <c r="J11" s="57"/>
      <c r="K11" s="12"/>
      <c r="L11" s="12"/>
      <c r="M11" s="7"/>
      <c r="N11" s="6"/>
      <c r="O11" s="8"/>
      <c r="P11" s="57"/>
      <c r="Q11" s="12"/>
      <c r="R11" s="12"/>
      <c r="S11" s="7"/>
      <c r="T11" s="6"/>
      <c r="U11" s="8"/>
      <c r="V11" s="57"/>
      <c r="W11" s="12"/>
      <c r="X11" s="12"/>
      <c r="Y11" s="7"/>
      <c r="Z11" s="6"/>
      <c r="AA11" s="141"/>
      <c r="AB11" s="11"/>
      <c r="AC11" s="12"/>
      <c r="AD11" s="12"/>
      <c r="AE11" s="7"/>
      <c r="AF11" s="6"/>
      <c r="AG11" s="8"/>
      <c r="AH11" s="57"/>
      <c r="AI11" s="12"/>
      <c r="AJ11" s="12"/>
      <c r="AK11" s="7"/>
      <c r="AL11" s="6"/>
      <c r="AM11" s="8"/>
      <c r="AN11" s="11"/>
      <c r="AO11" s="12"/>
      <c r="AP11" s="12"/>
      <c r="AQ11" s="7"/>
      <c r="AR11" s="6"/>
      <c r="AS11" s="8"/>
      <c r="AT11" s="11"/>
      <c r="AU11" s="12"/>
      <c r="AV11" s="12"/>
      <c r="AW11" s="7"/>
      <c r="AX11" s="6"/>
      <c r="AY11" s="8"/>
      <c r="AZ11" s="11"/>
      <c r="BA11" s="12"/>
      <c r="BB11" s="12"/>
      <c r="BC11" s="7"/>
      <c r="BD11" s="6"/>
      <c r="BE11" s="8"/>
      <c r="BF11" s="11"/>
      <c r="BG11" s="12"/>
      <c r="BH11" s="12"/>
      <c r="BI11" s="7"/>
      <c r="BJ11" s="6"/>
      <c r="BK11" s="8"/>
      <c r="BL11" s="11"/>
      <c r="BM11" s="12"/>
      <c r="BN11" s="12"/>
      <c r="BO11" s="7"/>
      <c r="BP11" s="6"/>
      <c r="BQ11" s="8"/>
      <c r="BR11" s="11"/>
      <c r="BS11" s="12"/>
      <c r="BT11" s="12"/>
      <c r="BU11" s="7"/>
      <c r="BV11" s="6"/>
      <c r="BW11" s="8"/>
      <c r="BX11" s="11"/>
      <c r="BY11" s="12"/>
      <c r="BZ11" s="12"/>
      <c r="CA11" s="7"/>
      <c r="CB11" s="6"/>
      <c r="CC11" s="8"/>
      <c r="CD11" s="11"/>
      <c r="CE11" s="12"/>
      <c r="CF11" s="12"/>
      <c r="CG11" s="7"/>
      <c r="CH11" s="6"/>
      <c r="CI11" s="8"/>
      <c r="CJ11" s="11"/>
      <c r="CK11" s="12"/>
      <c r="CL11" s="12"/>
      <c r="CM11" s="7"/>
      <c r="CN11" s="6"/>
      <c r="CO11" s="8"/>
      <c r="CP11" s="11"/>
      <c r="CQ11" s="12"/>
      <c r="CR11" s="12"/>
      <c r="CS11" s="7"/>
      <c r="CT11" s="6"/>
      <c r="CU11" s="8"/>
      <c r="CV11" s="11"/>
      <c r="CW11" s="12"/>
      <c r="CX11" s="12"/>
      <c r="CY11" s="7"/>
      <c r="CZ11" s="6"/>
      <c r="DA11" s="8"/>
      <c r="DB11" s="11"/>
      <c r="DC11" s="12"/>
      <c r="DD11" s="12"/>
      <c r="DE11" s="7"/>
      <c r="DF11" s="6"/>
      <c r="DG11" s="8"/>
      <c r="DH11" s="11"/>
      <c r="DI11" s="12"/>
      <c r="DJ11" s="12"/>
      <c r="DK11" s="7"/>
      <c r="DL11" s="6"/>
      <c r="DM11" s="8"/>
      <c r="DN11" s="11"/>
      <c r="DO11" s="12"/>
      <c r="DP11" s="12"/>
      <c r="DQ11" s="7"/>
      <c r="DR11" s="6"/>
      <c r="DS11" s="8"/>
      <c r="DT11" s="11"/>
      <c r="DU11" s="12"/>
      <c r="DV11" s="12"/>
      <c r="DW11" s="7"/>
      <c r="DX11" s="6"/>
      <c r="DY11" s="8"/>
      <c r="DZ11" s="11"/>
      <c r="EA11" s="12"/>
      <c r="EB11" s="12"/>
      <c r="EC11" s="7"/>
      <c r="ED11" s="6"/>
      <c r="EE11" s="8"/>
      <c r="EF11" s="11"/>
      <c r="EG11" s="15"/>
      <c r="EH11" s="12"/>
      <c r="EI11" s="16"/>
    </row>
    <row r="12" spans="1:144" ht="24" customHeight="1" x14ac:dyDescent="0.25">
      <c r="B12" s="219"/>
      <c r="C12" s="205"/>
      <c r="D12" s="57"/>
      <c r="E12" s="12"/>
      <c r="F12" s="12"/>
      <c r="G12" s="7"/>
      <c r="H12" s="6"/>
      <c r="I12" s="8"/>
      <c r="J12" s="57"/>
      <c r="K12" s="12"/>
      <c r="L12" s="12"/>
      <c r="M12" s="7"/>
      <c r="N12" s="6"/>
      <c r="O12" s="8"/>
      <c r="P12" s="57"/>
      <c r="Q12" s="12"/>
      <c r="R12" s="12"/>
      <c r="S12" s="7"/>
      <c r="T12" s="6"/>
      <c r="U12" s="8"/>
      <c r="V12" s="57"/>
      <c r="W12" s="12"/>
      <c r="X12" s="12"/>
      <c r="Y12" s="7"/>
      <c r="Z12" s="6"/>
      <c r="AA12" s="141"/>
      <c r="AB12" s="11"/>
      <c r="AC12" s="12"/>
      <c r="AD12" s="12"/>
      <c r="AE12" s="7"/>
      <c r="AF12" s="6"/>
      <c r="AG12" s="8"/>
      <c r="AH12" s="57"/>
      <c r="AI12" s="12"/>
      <c r="AJ12" s="12"/>
      <c r="AK12" s="7"/>
      <c r="AL12" s="6"/>
      <c r="AM12" s="8"/>
      <c r="AN12" s="11"/>
      <c r="AO12" s="12"/>
      <c r="AP12" s="12"/>
      <c r="AQ12" s="7"/>
      <c r="AR12" s="6"/>
      <c r="AS12" s="8"/>
      <c r="AT12" s="11"/>
      <c r="AU12" s="12"/>
      <c r="AV12" s="12"/>
      <c r="AW12" s="7"/>
      <c r="AX12" s="6"/>
      <c r="AY12" s="8"/>
      <c r="AZ12" s="11"/>
      <c r="BA12" s="12"/>
      <c r="BB12" s="12"/>
      <c r="BC12" s="7"/>
      <c r="BD12" s="6"/>
      <c r="BE12" s="8"/>
      <c r="BF12" s="11"/>
      <c r="BG12" s="12"/>
      <c r="BH12" s="12"/>
      <c r="BI12" s="7"/>
      <c r="BJ12" s="6"/>
      <c r="BK12" s="8"/>
      <c r="BL12" s="11"/>
      <c r="BM12" s="12"/>
      <c r="BN12" s="12"/>
      <c r="BO12" s="7"/>
      <c r="BP12" s="6"/>
      <c r="BQ12" s="8"/>
      <c r="BR12" s="11"/>
      <c r="BS12" s="12"/>
      <c r="BT12" s="12"/>
      <c r="BU12" s="7"/>
      <c r="BV12" s="6"/>
      <c r="BW12" s="8"/>
      <c r="BX12" s="11"/>
      <c r="BY12" s="12"/>
      <c r="BZ12" s="12"/>
      <c r="CA12" s="7"/>
      <c r="CB12" s="6"/>
      <c r="CC12" s="8"/>
      <c r="CD12" s="11"/>
      <c r="CE12" s="12"/>
      <c r="CF12" s="12"/>
      <c r="CG12" s="7"/>
      <c r="CH12" s="6"/>
      <c r="CI12" s="8"/>
      <c r="CJ12" s="11"/>
      <c r="CK12" s="12"/>
      <c r="CL12" s="12"/>
      <c r="CM12" s="7"/>
      <c r="CN12" s="6"/>
      <c r="CO12" s="8"/>
      <c r="CP12" s="11"/>
      <c r="CQ12" s="12"/>
      <c r="CR12" s="12"/>
      <c r="CS12" s="7"/>
      <c r="CT12" s="6"/>
      <c r="CU12" s="8"/>
      <c r="CV12" s="11"/>
      <c r="CW12" s="12"/>
      <c r="CX12" s="12"/>
      <c r="CY12" s="7"/>
      <c r="CZ12" s="6"/>
      <c r="DA12" s="8"/>
      <c r="DB12" s="11"/>
      <c r="DC12" s="12"/>
      <c r="DD12" s="12"/>
      <c r="DE12" s="7"/>
      <c r="DF12" s="6"/>
      <c r="DG12" s="8"/>
      <c r="DH12" s="11"/>
      <c r="DI12" s="12"/>
      <c r="DJ12" s="12"/>
      <c r="DK12" s="7"/>
      <c r="DL12" s="6"/>
      <c r="DM12" s="8"/>
      <c r="DN12" s="11"/>
      <c r="DO12" s="12"/>
      <c r="DP12" s="12"/>
      <c r="DQ12" s="7"/>
      <c r="DR12" s="6"/>
      <c r="DS12" s="8"/>
      <c r="DT12" s="11"/>
      <c r="DU12" s="12"/>
      <c r="DV12" s="12"/>
      <c r="DW12" s="7"/>
      <c r="DX12" s="6"/>
      <c r="DY12" s="8"/>
      <c r="DZ12" s="11"/>
      <c r="EA12" s="12"/>
      <c r="EB12" s="12"/>
      <c r="EC12" s="7"/>
      <c r="ED12" s="6"/>
      <c r="EE12" s="8"/>
      <c r="EF12" s="11"/>
      <c r="EG12" s="15"/>
      <c r="EH12" s="12"/>
      <c r="EI12" s="16"/>
    </row>
    <row r="13" spans="1:144" ht="24" customHeight="1" thickBot="1" x14ac:dyDescent="0.3">
      <c r="B13" s="219"/>
      <c r="C13" s="205"/>
      <c r="D13" s="97"/>
      <c r="E13" s="89"/>
      <c r="F13" s="89"/>
      <c r="G13" s="90"/>
      <c r="H13" s="91"/>
      <c r="I13" s="92"/>
      <c r="J13" s="57"/>
      <c r="K13" s="12"/>
      <c r="L13" s="12"/>
      <c r="M13" s="7"/>
      <c r="N13" s="6"/>
      <c r="O13" s="8"/>
      <c r="P13" s="57"/>
      <c r="Q13" s="12"/>
      <c r="R13" s="12"/>
      <c r="S13" s="7"/>
      <c r="T13" s="6"/>
      <c r="U13" s="8"/>
      <c r="V13" s="57"/>
      <c r="W13" s="12"/>
      <c r="X13" s="12"/>
      <c r="Y13" s="7"/>
      <c r="Z13" s="6"/>
      <c r="AA13" s="141"/>
      <c r="AB13" s="11"/>
      <c r="AC13" s="12"/>
      <c r="AD13" s="12"/>
      <c r="AE13" s="7"/>
      <c r="AF13" s="6"/>
      <c r="AG13" s="8"/>
      <c r="AH13" s="57"/>
      <c r="AI13" s="12"/>
      <c r="AJ13" s="12"/>
      <c r="AK13" s="7"/>
      <c r="AL13" s="6"/>
      <c r="AM13" s="8"/>
      <c r="AN13" s="11"/>
      <c r="AO13" s="12"/>
      <c r="AP13" s="12"/>
      <c r="AQ13" s="7"/>
      <c r="AR13" s="6"/>
      <c r="AS13" s="8"/>
      <c r="AT13" s="11"/>
      <c r="AU13" s="12"/>
      <c r="AV13" s="12"/>
      <c r="AW13" s="7"/>
      <c r="AX13" s="6"/>
      <c r="AY13" s="8"/>
      <c r="AZ13" s="11"/>
      <c r="BA13" s="12"/>
      <c r="BB13" s="12"/>
      <c r="BC13" s="7"/>
      <c r="BD13" s="6"/>
      <c r="BE13" s="8"/>
      <c r="BF13" s="11"/>
      <c r="BG13" s="12"/>
      <c r="BH13" s="12"/>
      <c r="BI13" s="7"/>
      <c r="BJ13" s="6"/>
      <c r="BK13" s="8"/>
      <c r="BL13" s="11"/>
      <c r="BM13" s="12"/>
      <c r="BN13" s="12"/>
      <c r="BO13" s="7"/>
      <c r="BP13" s="6"/>
      <c r="BQ13" s="8"/>
      <c r="BR13" s="11"/>
      <c r="BS13" s="12"/>
      <c r="BT13" s="12"/>
      <c r="BU13" s="7"/>
      <c r="BV13" s="6"/>
      <c r="BW13" s="8"/>
      <c r="BX13" s="11"/>
      <c r="BY13" s="12"/>
      <c r="BZ13" s="12"/>
      <c r="CA13" s="7"/>
      <c r="CB13" s="6"/>
      <c r="CC13" s="8"/>
      <c r="CD13" s="11"/>
      <c r="CE13" s="12"/>
      <c r="CF13" s="12"/>
      <c r="CG13" s="7"/>
      <c r="CH13" s="6"/>
      <c r="CI13" s="8"/>
      <c r="CJ13" s="11"/>
      <c r="CK13" s="12"/>
      <c r="CL13" s="12"/>
      <c r="CM13" s="7"/>
      <c r="CN13" s="6"/>
      <c r="CO13" s="8"/>
      <c r="CP13" s="11"/>
      <c r="CQ13" s="12"/>
      <c r="CR13" s="12"/>
      <c r="CS13" s="7"/>
      <c r="CT13" s="6"/>
      <c r="CU13" s="8"/>
      <c r="CV13" s="11"/>
      <c r="CW13" s="12"/>
      <c r="CX13" s="12"/>
      <c r="CY13" s="7"/>
      <c r="CZ13" s="6"/>
      <c r="DA13" s="8"/>
      <c r="DB13" s="11"/>
      <c r="DC13" s="12"/>
      <c r="DD13" s="12"/>
      <c r="DE13" s="7"/>
      <c r="DF13" s="6"/>
      <c r="DG13" s="8"/>
      <c r="DH13" s="11"/>
      <c r="DI13" s="12"/>
      <c r="DJ13" s="12"/>
      <c r="DK13" s="7"/>
      <c r="DL13" s="6"/>
      <c r="DM13" s="8"/>
      <c r="DN13" s="11"/>
      <c r="DO13" s="12"/>
      <c r="DP13" s="12"/>
      <c r="DQ13" s="7"/>
      <c r="DR13" s="6"/>
      <c r="DS13" s="8"/>
      <c r="DT13" s="11"/>
      <c r="DU13" s="12"/>
      <c r="DV13" s="12"/>
      <c r="DW13" s="7"/>
      <c r="DX13" s="6"/>
      <c r="DY13" s="8"/>
      <c r="DZ13" s="11"/>
      <c r="EA13" s="12"/>
      <c r="EB13" s="12"/>
      <c r="EC13" s="7"/>
      <c r="ED13" s="6"/>
      <c r="EE13" s="8"/>
      <c r="EF13" s="11"/>
      <c r="EG13" s="15"/>
      <c r="EH13" s="12"/>
      <c r="EI13" s="16"/>
    </row>
    <row r="14" spans="1:144" s="131" customFormat="1" ht="24" customHeight="1" thickBot="1" x14ac:dyDescent="0.3">
      <c r="A14" s="27"/>
      <c r="B14" s="219"/>
      <c r="C14" s="206"/>
      <c r="D14" s="195">
        <v>0</v>
      </c>
      <c r="E14" s="196"/>
      <c r="F14" s="196"/>
      <c r="G14" s="196"/>
      <c r="H14" s="196"/>
      <c r="I14" s="197"/>
      <c r="J14" s="195">
        <v>0</v>
      </c>
      <c r="K14" s="196"/>
      <c r="L14" s="196"/>
      <c r="M14" s="196"/>
      <c r="N14" s="196"/>
      <c r="O14" s="197"/>
      <c r="P14" s="195">
        <v>0</v>
      </c>
      <c r="Q14" s="196"/>
      <c r="R14" s="196"/>
      <c r="S14" s="196"/>
      <c r="T14" s="196"/>
      <c r="U14" s="197"/>
      <c r="V14" s="195">
        <v>0</v>
      </c>
      <c r="W14" s="196"/>
      <c r="X14" s="196"/>
      <c r="Y14" s="196"/>
      <c r="Z14" s="196"/>
      <c r="AA14" s="196"/>
      <c r="AB14" s="195">
        <v>0</v>
      </c>
      <c r="AC14" s="196"/>
      <c r="AD14" s="196"/>
      <c r="AE14" s="196"/>
      <c r="AF14" s="196"/>
      <c r="AG14" s="197"/>
      <c r="AH14" s="196">
        <v>0</v>
      </c>
      <c r="AI14" s="196"/>
      <c r="AJ14" s="196"/>
      <c r="AK14" s="196"/>
      <c r="AL14" s="196"/>
      <c r="AM14" s="197"/>
      <c r="AN14" s="195">
        <v>0</v>
      </c>
      <c r="AO14" s="196"/>
      <c r="AP14" s="196"/>
      <c r="AQ14" s="196"/>
      <c r="AR14" s="196"/>
      <c r="AS14" s="197"/>
      <c r="AT14" s="195">
        <v>0</v>
      </c>
      <c r="AU14" s="196"/>
      <c r="AV14" s="196"/>
      <c r="AW14" s="196"/>
      <c r="AX14" s="196"/>
      <c r="AY14" s="197"/>
      <c r="AZ14" s="195">
        <v>0</v>
      </c>
      <c r="BA14" s="196"/>
      <c r="BB14" s="196"/>
      <c r="BC14" s="196"/>
      <c r="BD14" s="196"/>
      <c r="BE14" s="197"/>
      <c r="BF14" s="195">
        <v>0</v>
      </c>
      <c r="BG14" s="196"/>
      <c r="BH14" s="196"/>
      <c r="BI14" s="196"/>
      <c r="BJ14" s="196"/>
      <c r="BK14" s="197"/>
      <c r="BL14" s="195">
        <v>0</v>
      </c>
      <c r="BM14" s="196"/>
      <c r="BN14" s="196"/>
      <c r="BO14" s="196"/>
      <c r="BP14" s="196"/>
      <c r="BQ14" s="197"/>
      <c r="BR14" s="195">
        <v>0</v>
      </c>
      <c r="BS14" s="196"/>
      <c r="BT14" s="196"/>
      <c r="BU14" s="196"/>
      <c r="BV14" s="196"/>
      <c r="BW14" s="197"/>
      <c r="BX14" s="195">
        <v>0</v>
      </c>
      <c r="BY14" s="196"/>
      <c r="BZ14" s="196"/>
      <c r="CA14" s="196"/>
      <c r="CB14" s="196"/>
      <c r="CC14" s="197"/>
      <c r="CD14" s="195">
        <v>0</v>
      </c>
      <c r="CE14" s="196"/>
      <c r="CF14" s="196"/>
      <c r="CG14" s="196"/>
      <c r="CH14" s="196"/>
      <c r="CI14" s="197"/>
      <c r="CJ14" s="195">
        <v>0</v>
      </c>
      <c r="CK14" s="196"/>
      <c r="CL14" s="196"/>
      <c r="CM14" s="196"/>
      <c r="CN14" s="196"/>
      <c r="CO14" s="197"/>
      <c r="CP14" s="195">
        <v>0</v>
      </c>
      <c r="CQ14" s="196"/>
      <c r="CR14" s="196"/>
      <c r="CS14" s="196"/>
      <c r="CT14" s="196"/>
      <c r="CU14" s="197"/>
      <c r="CV14" s="195">
        <v>0</v>
      </c>
      <c r="CW14" s="196"/>
      <c r="CX14" s="196"/>
      <c r="CY14" s="196"/>
      <c r="CZ14" s="196"/>
      <c r="DA14" s="197"/>
      <c r="DB14" s="195">
        <v>0</v>
      </c>
      <c r="DC14" s="196"/>
      <c r="DD14" s="196"/>
      <c r="DE14" s="196"/>
      <c r="DF14" s="196"/>
      <c r="DG14" s="197"/>
      <c r="DH14" s="195">
        <v>0</v>
      </c>
      <c r="DI14" s="196"/>
      <c r="DJ14" s="196"/>
      <c r="DK14" s="196"/>
      <c r="DL14" s="196"/>
      <c r="DM14" s="197"/>
      <c r="DN14" s="195">
        <v>0</v>
      </c>
      <c r="DO14" s="196"/>
      <c r="DP14" s="196"/>
      <c r="DQ14" s="196"/>
      <c r="DR14" s="196"/>
      <c r="DS14" s="197"/>
      <c r="DT14" s="195">
        <v>0</v>
      </c>
      <c r="DU14" s="196"/>
      <c r="DV14" s="196"/>
      <c r="DW14" s="196"/>
      <c r="DX14" s="196"/>
      <c r="DY14" s="197"/>
      <c r="DZ14" s="195">
        <v>0</v>
      </c>
      <c r="EA14" s="196"/>
      <c r="EB14" s="196"/>
      <c r="EC14" s="196"/>
      <c r="ED14" s="196"/>
      <c r="EE14" s="197"/>
      <c r="EF14" s="129"/>
      <c r="EG14" s="98"/>
      <c r="EH14" s="130"/>
      <c r="EI14" s="99"/>
    </row>
    <row r="15" spans="1:144" ht="24" customHeight="1" thickBot="1" x14ac:dyDescent="0.3">
      <c r="B15" s="219"/>
      <c r="C15" s="55" t="s">
        <v>128</v>
      </c>
      <c r="D15" s="45">
        <f>MAX(E6:F13)-IF(D6="",E6,D6)-MIN(H6:H12)+$C3</f>
        <v>0</v>
      </c>
      <c r="E15" s="48"/>
      <c r="F15" s="48"/>
      <c r="G15" s="49"/>
      <c r="H15" s="46" t="e">
        <f ca="1">OFFSET(H5,MATCH(MIN(H6:H12),H6:H12,0),-4)-IF(D6="",E6,D6)+$C3</f>
        <v>#N/A</v>
      </c>
      <c r="I15" s="47"/>
      <c r="J15" s="45">
        <f>MAX(K6:L13)-IF(J6="",K6,J6)-MIN(N6:N12)+$C$3</f>
        <v>0</v>
      </c>
      <c r="K15" s="48"/>
      <c r="L15" s="48"/>
      <c r="M15" s="49"/>
      <c r="N15" s="46" t="e">
        <f ca="1">OFFSET(N5,MATCH(MIN(N6:N12),N6:N12,0),-4)-IF(J6="",K6,J6)+$C3</f>
        <v>#N/A</v>
      </c>
      <c r="O15" s="47"/>
      <c r="P15" s="45">
        <f>MAX(Q6:R13)-IF(P6="",Q6,P6)-MIN(T6:T12)+$C$3</f>
        <v>0</v>
      </c>
      <c r="Q15" s="48"/>
      <c r="R15" s="48"/>
      <c r="S15" s="49"/>
      <c r="T15" s="46" t="e">
        <f ca="1">OFFSET(T5,MATCH(MIN(T6:T12),T6:T12,0),-4)-IF(P6="",Q6,P6)+$C3</f>
        <v>#N/A</v>
      </c>
      <c r="U15" s="47"/>
      <c r="V15" s="45">
        <f>MAX(W6:X13)-IF(V6="",W6,V6)-MIN(Z6:Z12)+$C$3</f>
        <v>0</v>
      </c>
      <c r="W15" s="48"/>
      <c r="X15" s="48"/>
      <c r="Y15" s="49"/>
      <c r="Z15" s="46" t="e">
        <f ca="1">OFFSET(Z5,MATCH(MIN(Z6:Z12),Z6:Z12,0),-4)-IF(V6="",W6,V6)+$C3</f>
        <v>#N/A</v>
      </c>
      <c r="AA15" s="139"/>
      <c r="AB15" s="45">
        <f>MAX(AC6:AD13)-IF(AB6="",AC6,AB6)-MIN(AF6:AF12)+$C$3</f>
        <v>0</v>
      </c>
      <c r="AC15" s="48"/>
      <c r="AD15" s="48"/>
      <c r="AE15" s="49"/>
      <c r="AF15" s="46" t="e">
        <f ca="1">OFFSET(AF5,MATCH(MIN(AF6:AF12),AF6:AF12,0),-4)-IF(AB6="",AC6,AB6)+$C3</f>
        <v>#N/A</v>
      </c>
      <c r="AG15" s="47"/>
      <c r="AH15" s="142">
        <f>MAX(AI6:AJ13)-IF(AH6="",AI6,AH6)-MIN(AL6:AL12)+$C$3</f>
        <v>0</v>
      </c>
      <c r="AI15" s="48"/>
      <c r="AJ15" s="48"/>
      <c r="AK15" s="49"/>
      <c r="AL15" s="46" t="e">
        <f ca="1">OFFSET(AL5,MATCH(MIN(AL6:AL12),AL6:AL12,0),-4)-IF(AH6="",AI6,AH6)+$C3</f>
        <v>#N/A</v>
      </c>
      <c r="AM15" s="139"/>
      <c r="AN15" s="45">
        <f>MAX(AO6:AP13)-IF(AN6="",AO6,AN6)-MIN(AR6:AR12)+$C$3</f>
        <v>0</v>
      </c>
      <c r="AO15" s="48"/>
      <c r="AP15" s="48"/>
      <c r="AQ15" s="49"/>
      <c r="AR15" s="46" t="e">
        <f ca="1">OFFSET(AR5,MATCH(MIN(AR6:AR12),AR6:AR12,0),-4)-IF(AN6="",AO6,AN6)+$C3</f>
        <v>#N/A</v>
      </c>
      <c r="AS15" s="47"/>
      <c r="AT15" s="45">
        <f>MAX(AU6:AV13)-IF(AT6="",AU6,AT6)-MIN(AX6:AX12)+$C$3</f>
        <v>0</v>
      </c>
      <c r="AU15" s="48"/>
      <c r="AV15" s="48"/>
      <c r="AW15" s="49"/>
      <c r="AX15" s="46" t="e">
        <f ca="1">OFFSET(AX5,MATCH(MIN(AX6:AX12),AX6:AX12,0),-4)-IF(AT6="",AU6,AT6)+$C3</f>
        <v>#N/A</v>
      </c>
      <c r="AY15" s="47"/>
      <c r="AZ15" s="45">
        <f>MAX(BA6:BB13)-IF(AZ6="",BA6,AZ6)-MIN(BD6:BD12)+$C$3</f>
        <v>0</v>
      </c>
      <c r="BA15" s="48"/>
      <c r="BB15" s="48"/>
      <c r="BC15" s="49"/>
      <c r="BD15" s="46" t="e">
        <f ca="1">OFFSET(BD5,MATCH(MIN(BD6:BD12),BD6:BD12,0),-4)-IF(AZ6="",BA6,AZ6)+$C3</f>
        <v>#N/A</v>
      </c>
      <c r="BE15" s="47"/>
      <c r="BF15" s="45">
        <f>MAX(BG6:BH13)-IF(BF6="",BG6,BF6)-MIN(BJ6:BJ12)+$C$3</f>
        <v>0</v>
      </c>
      <c r="BG15" s="48"/>
      <c r="BH15" s="48"/>
      <c r="BI15" s="49"/>
      <c r="BJ15" s="46" t="e">
        <f ca="1">OFFSET(BJ5,MATCH(MIN(BJ6:BJ12),BJ6:BJ12,0),-4)-IF(BF6="",BG6,BF6)+$C3</f>
        <v>#N/A</v>
      </c>
      <c r="BK15" s="47"/>
      <c r="BL15" s="45">
        <f>MAX(BM6:BN13)-IF(BL6="",BM6,BL6)-MIN(BP6:BP12)+$C$3</f>
        <v>0</v>
      </c>
      <c r="BM15" s="48"/>
      <c r="BN15" s="48"/>
      <c r="BO15" s="49"/>
      <c r="BP15" s="46" t="e">
        <f ca="1">OFFSET(BP5,MATCH(MIN(BP6:BP12),BP6:BP12,0),-4)-IF(BL6="",BM6,BL6)+$C3</f>
        <v>#N/A</v>
      </c>
      <c r="BQ15" s="47"/>
      <c r="BR15" s="45">
        <f>MAX(BS6:BT13)-IF(BR6="",BS6,BR6)-MIN(BV6:BV12)+$C$3</f>
        <v>0</v>
      </c>
      <c r="BS15" s="48"/>
      <c r="BT15" s="48"/>
      <c r="BU15" s="49"/>
      <c r="BV15" s="46" t="e">
        <f ca="1">OFFSET(BV5,MATCH(MIN(BV6:BV12),BV6:BV12,0),-4)-IF(BR6="",BS6,BR6)+$C3</f>
        <v>#N/A</v>
      </c>
      <c r="BW15" s="47"/>
      <c r="BX15" s="45">
        <f>MAX(BY6:BZ13)-IF(BX6="",BY6,BX6)-MIN(CB6:CB12)+$C$3</f>
        <v>0</v>
      </c>
      <c r="BY15" s="48"/>
      <c r="BZ15" s="48"/>
      <c r="CA15" s="49"/>
      <c r="CB15" s="46" t="e">
        <f ca="1">OFFSET(CB5,MATCH(MIN(CB6:CB12),CB6:CB12,0),-4)-IF(BX6="",BY6,BX6)+$C3</f>
        <v>#N/A</v>
      </c>
      <c r="CC15" s="47"/>
      <c r="CD15" s="45">
        <f>MAX(CE6:CF13)-IF(CD6="",CE6,CD6)-MIN(CH6:CH12)+$C$3</f>
        <v>0</v>
      </c>
      <c r="CE15" s="48"/>
      <c r="CF15" s="48"/>
      <c r="CG15" s="49"/>
      <c r="CH15" s="46" t="e">
        <f ca="1">OFFSET(CH5,MATCH(MIN(CH6:CH12),CH6:CH12,0),-4)-IF(CD6="",CE6,CD6)+$C3</f>
        <v>#N/A</v>
      </c>
      <c r="CI15" s="47"/>
      <c r="CJ15" s="45">
        <f>MAX(CK6:CL13)-IF(CJ6="",CK6,CJ6)-MIN(CN6:CN12)+$C$3</f>
        <v>0</v>
      </c>
      <c r="CK15" s="48"/>
      <c r="CL15" s="48"/>
      <c r="CM15" s="49"/>
      <c r="CN15" s="46" t="e">
        <f ca="1">OFFSET(CN5,MATCH(MIN(CN6:CN12),CN6:CN12,0),-4)-IF(CJ6="",CK6,CJ6)+$C3</f>
        <v>#N/A</v>
      </c>
      <c r="CO15" s="47"/>
      <c r="CP15" s="45">
        <f>MAX(CQ6:CR13)-IF(CP6="",CQ6,CP6)-MIN(CT6:CT12)+$C$3</f>
        <v>0</v>
      </c>
      <c r="CQ15" s="48"/>
      <c r="CR15" s="48"/>
      <c r="CS15" s="49"/>
      <c r="CT15" s="46" t="e">
        <f ca="1">OFFSET(CT5,MATCH(MIN(CT6:CT12),CT6:CT12,0),-4)-IF(CP6="",CQ6,CP6)+$C3</f>
        <v>#N/A</v>
      </c>
      <c r="CU15" s="47"/>
      <c r="CV15" s="45">
        <f>MAX(CW6:CX13)-IF(CV6="",CW6,CV6)-MIN(CZ6:CZ12)+$C$3</f>
        <v>0</v>
      </c>
      <c r="CW15" s="48"/>
      <c r="CX15" s="48"/>
      <c r="CY15" s="49"/>
      <c r="CZ15" s="46" t="e">
        <f ca="1">OFFSET(CZ5,MATCH(MIN(CZ6:CZ12),CZ6:CZ12,0),-4)-IF(CV6="",CW6,CV6)+$C3</f>
        <v>#N/A</v>
      </c>
      <c r="DA15" s="47"/>
      <c r="DB15" s="45">
        <f>MAX(DC6:DD13)-IF(DB6="",DC6,DB6)-MIN(DF6:DF12)+$C$3</f>
        <v>0</v>
      </c>
      <c r="DC15" s="48"/>
      <c r="DD15" s="48"/>
      <c r="DE15" s="49"/>
      <c r="DF15" s="46" t="e">
        <f ca="1">OFFSET(DF5,MATCH(MIN(DF6:DF12),DF6:DF12,0),-4)-IF(DB6="",DC6,DB6)+$C3</f>
        <v>#N/A</v>
      </c>
      <c r="DG15" s="47"/>
      <c r="DH15" s="45">
        <f>MAX(DI6:DJ13)-IF(DH6="",DI6,DH6)-MIN(DL6:DL12)+$C$3</f>
        <v>0</v>
      </c>
      <c r="DI15" s="48"/>
      <c r="DJ15" s="48"/>
      <c r="DK15" s="49"/>
      <c r="DL15" s="46" t="e">
        <f ca="1">OFFSET(DL5,MATCH(MIN(DL6:DL12),DL6:DL12,0),-4)-IF(DH6="",DI6,DH6)+$C3</f>
        <v>#N/A</v>
      </c>
      <c r="DM15" s="47"/>
      <c r="DN15" s="45">
        <f>MAX(DO6:DP13)-IF(DN6="",DO6,DN6)-MIN(DR6:DR12)+$C$3</f>
        <v>0</v>
      </c>
      <c r="DO15" s="48"/>
      <c r="DP15" s="48"/>
      <c r="DQ15" s="49"/>
      <c r="DR15" s="46" t="e">
        <f ca="1">OFFSET(DR5,MATCH(MIN(DR6:DR12),DR6:DR12,0),-4)-IF(DN6="",DO6,DN6)+$C3</f>
        <v>#N/A</v>
      </c>
      <c r="DS15" s="47"/>
      <c r="DT15" s="45">
        <f>MAX(DU6:DV13)-IF(DT6="",DU6,DT6)-MIN(DX6:DX12)+$C$3</f>
        <v>0</v>
      </c>
      <c r="DU15" s="48"/>
      <c r="DV15" s="48"/>
      <c r="DW15" s="49"/>
      <c r="DX15" s="46" t="e">
        <f ca="1">OFFSET(DX5,MATCH(MIN(DX6:DX12),DX6:DX12,0),-4)-IF(DT6="",DU6,DT6)+$C3</f>
        <v>#N/A</v>
      </c>
      <c r="DY15" s="47"/>
      <c r="DZ15" s="45">
        <f>MAX(EA6:EB13)-IF(DZ6="",EA6,DZ6)-MIN(ED6:ED12)+$C$3</f>
        <v>0</v>
      </c>
      <c r="EA15" s="48"/>
      <c r="EB15" s="48"/>
      <c r="EC15" s="49"/>
      <c r="ED15" s="46" t="e">
        <f ca="1">OFFSET(ED5,MATCH(MIN(ED6:ED12),ED6:ED12,0),-4)-IF(DZ6="",EA6,DZ6)+$C3</f>
        <v>#N/A</v>
      </c>
      <c r="EE15" s="47"/>
      <c r="EF15" s="11"/>
      <c r="EG15" s="51"/>
      <c r="EH15" s="50"/>
      <c r="EI15" s="52"/>
    </row>
    <row r="16" spans="1:144" ht="24" customHeight="1" thickBot="1" x14ac:dyDescent="0.3">
      <c r="B16" s="219"/>
      <c r="C16" s="60">
        <v>0</v>
      </c>
      <c r="D16" s="40" t="s">
        <v>7</v>
      </c>
      <c r="E16" s="41"/>
      <c r="F16" s="41"/>
      <c r="G16" s="41"/>
      <c r="H16" s="41"/>
      <c r="I16" s="42"/>
      <c r="J16" s="40"/>
      <c r="K16" s="41"/>
      <c r="L16" s="41"/>
      <c r="M16" s="41"/>
      <c r="N16" s="41"/>
      <c r="O16" s="42"/>
      <c r="P16" s="40"/>
      <c r="Q16" s="41"/>
      <c r="R16" s="41"/>
      <c r="S16" s="41"/>
      <c r="T16" s="41"/>
      <c r="U16" s="42"/>
      <c r="V16" s="40"/>
      <c r="W16" s="41"/>
      <c r="X16" s="41"/>
      <c r="Y16" s="41"/>
      <c r="Z16" s="41"/>
      <c r="AA16" s="42"/>
      <c r="AB16" s="40"/>
      <c r="AC16" s="41"/>
      <c r="AD16" s="41"/>
      <c r="AE16" s="41"/>
      <c r="AF16" s="41"/>
      <c r="AG16" s="42"/>
      <c r="AH16" s="40"/>
      <c r="AI16" s="41"/>
      <c r="AJ16" s="41"/>
      <c r="AK16" s="41"/>
      <c r="AL16" s="41"/>
      <c r="AM16" s="42"/>
      <c r="AN16" s="40"/>
      <c r="AO16" s="41"/>
      <c r="AP16" s="41"/>
      <c r="AQ16" s="41"/>
      <c r="AR16" s="41"/>
      <c r="AS16" s="42"/>
      <c r="AT16" s="40"/>
      <c r="AU16" s="41"/>
      <c r="AV16" s="41"/>
      <c r="AW16" s="41"/>
      <c r="AX16" s="41"/>
      <c r="AY16" s="42"/>
      <c r="AZ16" s="40"/>
      <c r="BA16" s="41"/>
      <c r="BB16" s="41"/>
      <c r="BC16" s="41"/>
      <c r="BD16" s="41"/>
      <c r="BE16" s="42"/>
      <c r="BF16" s="40"/>
      <c r="BG16" s="41"/>
      <c r="BH16" s="41"/>
      <c r="BI16" s="41"/>
      <c r="BJ16" s="41"/>
      <c r="BK16" s="42"/>
      <c r="BL16" s="40"/>
      <c r="BM16" s="41"/>
      <c r="BN16" s="41"/>
      <c r="BO16" s="41"/>
      <c r="BP16" s="41"/>
      <c r="BQ16" s="42"/>
      <c r="BR16" s="40"/>
      <c r="BS16" s="41"/>
      <c r="BT16" s="41"/>
      <c r="BU16" s="41"/>
      <c r="BV16" s="41"/>
      <c r="BW16" s="42"/>
      <c r="BX16" s="40"/>
      <c r="BY16" s="41"/>
      <c r="BZ16" s="41"/>
      <c r="CA16" s="41"/>
      <c r="CB16" s="41"/>
      <c r="CC16" s="42"/>
      <c r="CD16" s="40"/>
      <c r="CE16" s="41"/>
      <c r="CF16" s="41"/>
      <c r="CG16" s="41"/>
      <c r="CH16" s="41"/>
      <c r="CI16" s="42"/>
      <c r="CJ16" s="40"/>
      <c r="CK16" s="41"/>
      <c r="CL16" s="41"/>
      <c r="CM16" s="41"/>
      <c r="CN16" s="41"/>
      <c r="CO16" s="42"/>
      <c r="CP16" s="40"/>
      <c r="CQ16" s="41"/>
      <c r="CR16" s="41"/>
      <c r="CS16" s="41"/>
      <c r="CT16" s="41"/>
      <c r="CU16" s="42"/>
      <c r="CV16" s="40"/>
      <c r="CW16" s="41"/>
      <c r="CX16" s="41"/>
      <c r="CY16" s="41"/>
      <c r="CZ16" s="41"/>
      <c r="DA16" s="42"/>
      <c r="DB16" s="40"/>
      <c r="DC16" s="41"/>
      <c r="DD16" s="41"/>
      <c r="DE16" s="41"/>
      <c r="DF16" s="41"/>
      <c r="DG16" s="42"/>
      <c r="DH16" s="40"/>
      <c r="DI16" s="41"/>
      <c r="DJ16" s="41"/>
      <c r="DK16" s="41"/>
      <c r="DL16" s="41"/>
      <c r="DM16" s="42"/>
      <c r="DN16" s="40"/>
      <c r="DO16" s="41"/>
      <c r="DP16" s="41"/>
      <c r="DQ16" s="41"/>
      <c r="DR16" s="41"/>
      <c r="DS16" s="42"/>
      <c r="DT16" s="40"/>
      <c r="DU16" s="41"/>
      <c r="DV16" s="41"/>
      <c r="DW16" s="41"/>
      <c r="DX16" s="41"/>
      <c r="DY16" s="42"/>
      <c r="DZ16" s="40"/>
      <c r="EA16" s="41"/>
      <c r="EB16" s="41"/>
      <c r="EC16" s="41"/>
      <c r="ED16" s="41"/>
      <c r="EE16" s="41"/>
      <c r="EF16" s="11"/>
      <c r="EG16" s="15"/>
      <c r="EH16" s="12"/>
      <c r="EI16" s="16"/>
    </row>
    <row r="17" spans="1:139" ht="24" customHeight="1" thickBot="1" x14ac:dyDescent="0.3">
      <c r="B17" s="219"/>
      <c r="C17" s="61"/>
      <c r="D17" s="40" t="s">
        <v>266</v>
      </c>
      <c r="E17" s="41"/>
      <c r="F17" s="41"/>
      <c r="G17" s="41"/>
      <c r="H17" s="41"/>
      <c r="I17" s="42"/>
      <c r="J17" s="40" t="s">
        <v>267</v>
      </c>
      <c r="K17" s="41"/>
      <c r="L17" s="41"/>
      <c r="M17" s="41"/>
      <c r="N17" s="41"/>
      <c r="O17" s="42"/>
      <c r="P17" s="40" t="s">
        <v>268</v>
      </c>
      <c r="Q17" s="41"/>
      <c r="R17" s="41"/>
      <c r="S17" s="41"/>
      <c r="T17" s="41"/>
      <c r="U17" s="42"/>
      <c r="V17" s="40" t="s">
        <v>269</v>
      </c>
      <c r="W17" s="41"/>
      <c r="X17" s="41"/>
      <c r="Y17" s="41"/>
      <c r="Z17" s="41"/>
      <c r="AA17" s="42"/>
      <c r="AB17" s="40" t="s">
        <v>270</v>
      </c>
      <c r="AC17" s="41"/>
      <c r="AD17" s="41"/>
      <c r="AE17" s="41"/>
      <c r="AF17" s="41"/>
      <c r="AG17" s="42"/>
      <c r="AH17" s="40" t="s">
        <v>271</v>
      </c>
      <c r="AI17" s="41"/>
      <c r="AJ17" s="41"/>
      <c r="AK17" s="41"/>
      <c r="AL17" s="41"/>
      <c r="AM17" s="42"/>
      <c r="AN17" s="40" t="s">
        <v>272</v>
      </c>
      <c r="AO17" s="41"/>
      <c r="AP17" s="41"/>
      <c r="AQ17" s="41"/>
      <c r="AR17" s="41"/>
      <c r="AS17" s="42"/>
      <c r="AT17" s="40" t="s">
        <v>273</v>
      </c>
      <c r="AU17" s="41"/>
      <c r="AV17" s="41"/>
      <c r="AW17" s="41"/>
      <c r="AX17" s="41"/>
      <c r="AY17" s="42"/>
      <c r="AZ17" s="40" t="s">
        <v>274</v>
      </c>
      <c r="BA17" s="41"/>
      <c r="BB17" s="41"/>
      <c r="BC17" s="41"/>
      <c r="BD17" s="41"/>
      <c r="BE17" s="42"/>
      <c r="BF17" s="40" t="s">
        <v>275</v>
      </c>
      <c r="BG17" s="41"/>
      <c r="BH17" s="41"/>
      <c r="BI17" s="41"/>
      <c r="BJ17" s="41"/>
      <c r="BK17" s="42"/>
      <c r="BL17" s="40" t="s">
        <v>276</v>
      </c>
      <c r="BM17" s="41"/>
      <c r="BN17" s="41"/>
      <c r="BO17" s="41"/>
      <c r="BP17" s="41"/>
      <c r="BQ17" s="42"/>
      <c r="BR17" s="40" t="s">
        <v>277</v>
      </c>
      <c r="BS17" s="41"/>
      <c r="BT17" s="41"/>
      <c r="BU17" s="41"/>
      <c r="BV17" s="41"/>
      <c r="BW17" s="42"/>
      <c r="BX17" s="40" t="s">
        <v>278</v>
      </c>
      <c r="BY17" s="41"/>
      <c r="BZ17" s="41"/>
      <c r="CA17" s="41"/>
      <c r="CB17" s="41"/>
      <c r="CC17" s="42"/>
      <c r="CD17" s="40" t="s">
        <v>279</v>
      </c>
      <c r="CE17" s="41"/>
      <c r="CF17" s="41"/>
      <c r="CG17" s="41"/>
      <c r="CH17" s="41"/>
      <c r="CI17" s="42"/>
      <c r="CJ17" s="40" t="s">
        <v>280</v>
      </c>
      <c r="CK17" s="41"/>
      <c r="CL17" s="41"/>
      <c r="CM17" s="41"/>
      <c r="CN17" s="41"/>
      <c r="CO17" s="42"/>
      <c r="CP17" s="40" t="s">
        <v>281</v>
      </c>
      <c r="CQ17" s="41"/>
      <c r="CR17" s="41"/>
      <c r="CS17" s="41"/>
      <c r="CT17" s="41"/>
      <c r="CU17" s="42"/>
      <c r="CV17" s="40" t="s">
        <v>282</v>
      </c>
      <c r="CW17" s="41"/>
      <c r="CX17" s="41"/>
      <c r="CY17" s="41"/>
      <c r="CZ17" s="41"/>
      <c r="DA17" s="42"/>
      <c r="DB17" s="40" t="s">
        <v>283</v>
      </c>
      <c r="DC17" s="41"/>
      <c r="DD17" s="41"/>
      <c r="DE17" s="41"/>
      <c r="DF17" s="41"/>
      <c r="DG17" s="42"/>
      <c r="DH17" s="40" t="s">
        <v>284</v>
      </c>
      <c r="DI17" s="41"/>
      <c r="DJ17" s="41"/>
      <c r="DK17" s="41"/>
      <c r="DL17" s="41"/>
      <c r="DM17" s="42"/>
      <c r="DN17" s="40" t="s">
        <v>285</v>
      </c>
      <c r="DO17" s="41"/>
      <c r="DP17" s="41"/>
      <c r="DQ17" s="41"/>
      <c r="DR17" s="41"/>
      <c r="DS17" s="42"/>
      <c r="DT17" s="40" t="s">
        <v>286</v>
      </c>
      <c r="DU17" s="41"/>
      <c r="DV17" s="41"/>
      <c r="DW17" s="41"/>
      <c r="DX17" s="41"/>
      <c r="DY17" s="42"/>
      <c r="DZ17" s="40" t="s">
        <v>287</v>
      </c>
      <c r="EA17" s="41"/>
      <c r="EB17" s="41"/>
      <c r="EC17" s="41"/>
      <c r="ED17" s="41"/>
      <c r="EE17" s="41"/>
      <c r="EF17" s="11"/>
      <c r="EG17" s="15"/>
      <c r="EH17" s="12"/>
      <c r="EI17" s="16"/>
    </row>
    <row r="18" spans="1:139" ht="24" customHeight="1" thickBot="1" x14ac:dyDescent="0.3">
      <c r="B18" s="219"/>
      <c r="C18" s="204" t="s">
        <v>5</v>
      </c>
      <c r="D18" s="34" t="s">
        <v>0</v>
      </c>
      <c r="E18" s="58" t="s">
        <v>1</v>
      </c>
      <c r="F18" s="35" t="s">
        <v>2</v>
      </c>
      <c r="G18" s="58" t="s">
        <v>3</v>
      </c>
      <c r="H18" s="35" t="s">
        <v>4</v>
      </c>
      <c r="I18" s="58" t="s">
        <v>12</v>
      </c>
      <c r="J18" s="35" t="s">
        <v>0</v>
      </c>
      <c r="K18" s="58" t="s">
        <v>1</v>
      </c>
      <c r="L18" s="35" t="s">
        <v>2</v>
      </c>
      <c r="M18" s="58" t="s">
        <v>3</v>
      </c>
      <c r="N18" s="35" t="s">
        <v>4</v>
      </c>
      <c r="O18" s="58" t="s">
        <v>12</v>
      </c>
      <c r="P18" s="34" t="s">
        <v>0</v>
      </c>
      <c r="Q18" s="58" t="s">
        <v>1</v>
      </c>
      <c r="R18" s="35" t="s">
        <v>2</v>
      </c>
      <c r="S18" s="58" t="s">
        <v>3</v>
      </c>
      <c r="T18" s="35" t="s">
        <v>4</v>
      </c>
      <c r="U18" s="58" t="s">
        <v>12</v>
      </c>
      <c r="V18" s="34" t="s">
        <v>0</v>
      </c>
      <c r="W18" s="58" t="s">
        <v>1</v>
      </c>
      <c r="X18" s="35" t="s">
        <v>2</v>
      </c>
      <c r="Y18" s="58" t="s">
        <v>3</v>
      </c>
      <c r="Z18" s="35" t="s">
        <v>4</v>
      </c>
      <c r="AA18" s="58" t="s">
        <v>12</v>
      </c>
      <c r="AB18" s="34" t="s">
        <v>0</v>
      </c>
      <c r="AC18" s="58" t="s">
        <v>1</v>
      </c>
      <c r="AD18" s="35" t="s">
        <v>2</v>
      </c>
      <c r="AE18" s="58" t="s">
        <v>3</v>
      </c>
      <c r="AF18" s="35" t="s">
        <v>4</v>
      </c>
      <c r="AG18" s="58" t="s">
        <v>12</v>
      </c>
      <c r="AH18" s="34" t="s">
        <v>0</v>
      </c>
      <c r="AI18" s="58" t="s">
        <v>1</v>
      </c>
      <c r="AJ18" s="35" t="s">
        <v>2</v>
      </c>
      <c r="AK18" s="58" t="s">
        <v>3</v>
      </c>
      <c r="AL18" s="35" t="s">
        <v>4</v>
      </c>
      <c r="AM18" s="58" t="s">
        <v>12</v>
      </c>
      <c r="AN18" s="34" t="s">
        <v>0</v>
      </c>
      <c r="AO18" s="58" t="s">
        <v>1</v>
      </c>
      <c r="AP18" s="35" t="s">
        <v>2</v>
      </c>
      <c r="AQ18" s="58" t="s">
        <v>3</v>
      </c>
      <c r="AR18" s="35" t="s">
        <v>4</v>
      </c>
      <c r="AS18" s="58" t="s">
        <v>12</v>
      </c>
      <c r="AT18" s="34" t="s">
        <v>0</v>
      </c>
      <c r="AU18" s="58" t="s">
        <v>1</v>
      </c>
      <c r="AV18" s="35" t="s">
        <v>2</v>
      </c>
      <c r="AW18" s="58" t="s">
        <v>3</v>
      </c>
      <c r="AX18" s="35" t="s">
        <v>4</v>
      </c>
      <c r="AY18" s="58" t="s">
        <v>12</v>
      </c>
      <c r="AZ18" s="34" t="s">
        <v>0</v>
      </c>
      <c r="BA18" s="58" t="s">
        <v>1</v>
      </c>
      <c r="BB18" s="35" t="s">
        <v>2</v>
      </c>
      <c r="BC18" s="58" t="s">
        <v>3</v>
      </c>
      <c r="BD18" s="35" t="s">
        <v>4</v>
      </c>
      <c r="BE18" s="58" t="s">
        <v>12</v>
      </c>
      <c r="BF18" s="34" t="s">
        <v>0</v>
      </c>
      <c r="BG18" s="58" t="s">
        <v>1</v>
      </c>
      <c r="BH18" s="35" t="s">
        <v>2</v>
      </c>
      <c r="BI18" s="58" t="s">
        <v>3</v>
      </c>
      <c r="BJ18" s="35" t="s">
        <v>4</v>
      </c>
      <c r="BK18" s="58" t="s">
        <v>12</v>
      </c>
      <c r="BL18" s="34" t="s">
        <v>0</v>
      </c>
      <c r="BM18" s="58" t="s">
        <v>1</v>
      </c>
      <c r="BN18" s="35" t="s">
        <v>2</v>
      </c>
      <c r="BO18" s="58" t="s">
        <v>3</v>
      </c>
      <c r="BP18" s="35" t="s">
        <v>4</v>
      </c>
      <c r="BQ18" s="58" t="s">
        <v>12</v>
      </c>
      <c r="BR18" s="34" t="s">
        <v>0</v>
      </c>
      <c r="BS18" s="58" t="s">
        <v>1</v>
      </c>
      <c r="BT18" s="35" t="s">
        <v>2</v>
      </c>
      <c r="BU18" s="58" t="s">
        <v>3</v>
      </c>
      <c r="BV18" s="35" t="s">
        <v>4</v>
      </c>
      <c r="BW18" s="58" t="s">
        <v>12</v>
      </c>
      <c r="BX18" s="34" t="s">
        <v>0</v>
      </c>
      <c r="BY18" s="58" t="s">
        <v>1</v>
      </c>
      <c r="BZ18" s="35" t="s">
        <v>2</v>
      </c>
      <c r="CA18" s="58" t="s">
        <v>3</v>
      </c>
      <c r="CB18" s="35" t="s">
        <v>4</v>
      </c>
      <c r="CC18" s="58" t="s">
        <v>12</v>
      </c>
      <c r="CD18" s="34" t="s">
        <v>0</v>
      </c>
      <c r="CE18" s="58" t="s">
        <v>1</v>
      </c>
      <c r="CF18" s="35" t="s">
        <v>2</v>
      </c>
      <c r="CG18" s="58" t="s">
        <v>3</v>
      </c>
      <c r="CH18" s="35" t="s">
        <v>4</v>
      </c>
      <c r="CI18" s="58" t="s">
        <v>12</v>
      </c>
      <c r="CJ18" s="34" t="s">
        <v>0</v>
      </c>
      <c r="CK18" s="58" t="s">
        <v>1</v>
      </c>
      <c r="CL18" s="35" t="s">
        <v>2</v>
      </c>
      <c r="CM18" s="58" t="s">
        <v>3</v>
      </c>
      <c r="CN18" s="35" t="s">
        <v>4</v>
      </c>
      <c r="CO18" s="58" t="s">
        <v>12</v>
      </c>
      <c r="CP18" s="34" t="s">
        <v>0</v>
      </c>
      <c r="CQ18" s="58" t="s">
        <v>1</v>
      </c>
      <c r="CR18" s="35" t="s">
        <v>2</v>
      </c>
      <c r="CS18" s="58" t="s">
        <v>3</v>
      </c>
      <c r="CT18" s="35" t="s">
        <v>4</v>
      </c>
      <c r="CU18" s="58" t="s">
        <v>12</v>
      </c>
      <c r="CV18" s="34" t="s">
        <v>0</v>
      </c>
      <c r="CW18" s="58" t="s">
        <v>1</v>
      </c>
      <c r="CX18" s="35" t="s">
        <v>2</v>
      </c>
      <c r="CY18" s="58" t="s">
        <v>3</v>
      </c>
      <c r="CZ18" s="35" t="s">
        <v>4</v>
      </c>
      <c r="DA18" s="58" t="s">
        <v>12</v>
      </c>
      <c r="DB18" s="34" t="s">
        <v>0</v>
      </c>
      <c r="DC18" s="58" t="s">
        <v>1</v>
      </c>
      <c r="DD18" s="35" t="s">
        <v>2</v>
      </c>
      <c r="DE18" s="58" t="s">
        <v>3</v>
      </c>
      <c r="DF18" s="35" t="s">
        <v>4</v>
      </c>
      <c r="DG18" s="58" t="s">
        <v>12</v>
      </c>
      <c r="DH18" s="34" t="s">
        <v>0</v>
      </c>
      <c r="DI18" s="58" t="s">
        <v>1</v>
      </c>
      <c r="DJ18" s="35" t="s">
        <v>2</v>
      </c>
      <c r="DK18" s="58" t="s">
        <v>3</v>
      </c>
      <c r="DL18" s="35" t="s">
        <v>4</v>
      </c>
      <c r="DM18" s="58" t="s">
        <v>12</v>
      </c>
      <c r="DN18" s="34" t="s">
        <v>0</v>
      </c>
      <c r="DO18" s="58" t="s">
        <v>1</v>
      </c>
      <c r="DP18" s="35" t="s">
        <v>2</v>
      </c>
      <c r="DQ18" s="58" t="s">
        <v>3</v>
      </c>
      <c r="DR18" s="35" t="s">
        <v>4</v>
      </c>
      <c r="DS18" s="58" t="s">
        <v>12</v>
      </c>
      <c r="DT18" s="34" t="s">
        <v>0</v>
      </c>
      <c r="DU18" s="58" t="s">
        <v>1</v>
      </c>
      <c r="DV18" s="35" t="s">
        <v>2</v>
      </c>
      <c r="DW18" s="58" t="s">
        <v>3</v>
      </c>
      <c r="DX18" s="35" t="s">
        <v>4</v>
      </c>
      <c r="DY18" s="58" t="s">
        <v>12</v>
      </c>
      <c r="DZ18" s="34" t="s">
        <v>0</v>
      </c>
      <c r="EA18" s="58" t="s">
        <v>1</v>
      </c>
      <c r="EB18" s="35" t="s">
        <v>2</v>
      </c>
      <c r="EC18" s="58" t="s">
        <v>3</v>
      </c>
      <c r="ED18" s="35" t="s">
        <v>4</v>
      </c>
      <c r="EE18" s="58" t="s">
        <v>12</v>
      </c>
      <c r="EF18" s="11"/>
      <c r="EG18" s="15"/>
      <c r="EH18" s="12"/>
      <c r="EI18" s="16"/>
    </row>
    <row r="19" spans="1:139" ht="24" customHeight="1" x14ac:dyDescent="0.25">
      <c r="B19" s="219"/>
      <c r="C19" s="207"/>
      <c r="D19" s="9"/>
      <c r="E19" s="10"/>
      <c r="F19" s="10"/>
      <c r="G19" s="5"/>
      <c r="H19" s="3"/>
      <c r="I19" s="4"/>
      <c r="J19" s="9"/>
      <c r="K19" s="10"/>
      <c r="L19" s="10"/>
      <c r="M19" s="5"/>
      <c r="N19" s="3"/>
      <c r="O19" s="4"/>
      <c r="P19" s="9"/>
      <c r="Q19" s="10"/>
      <c r="R19" s="10"/>
      <c r="S19" s="5"/>
      <c r="T19" s="3"/>
      <c r="U19" s="4"/>
      <c r="V19" s="9"/>
      <c r="W19" s="10"/>
      <c r="X19" s="10"/>
      <c r="Y19" s="5"/>
      <c r="Z19" s="3"/>
      <c r="AA19" s="4"/>
      <c r="AB19" s="9"/>
      <c r="AC19" s="10"/>
      <c r="AD19" s="10"/>
      <c r="AE19" s="5"/>
      <c r="AF19" s="3"/>
      <c r="AG19" s="4"/>
      <c r="AH19" s="9"/>
      <c r="AI19" s="10"/>
      <c r="AJ19" s="10"/>
      <c r="AK19" s="5"/>
      <c r="AL19" s="3"/>
      <c r="AM19" s="4"/>
      <c r="AN19" s="9"/>
      <c r="AO19" s="10"/>
      <c r="AP19" s="10"/>
      <c r="AQ19" s="5"/>
      <c r="AR19" s="3"/>
      <c r="AS19" s="4"/>
      <c r="AT19" s="9"/>
      <c r="AU19" s="10"/>
      <c r="AV19" s="10"/>
      <c r="AW19" s="5"/>
      <c r="AX19" s="3"/>
      <c r="AY19" s="4"/>
      <c r="AZ19" s="9"/>
      <c r="BA19" s="10"/>
      <c r="BB19" s="10"/>
      <c r="BC19" s="5"/>
      <c r="BD19" s="3"/>
      <c r="BE19" s="4"/>
      <c r="BF19" s="9"/>
      <c r="BG19" s="10"/>
      <c r="BH19" s="10"/>
      <c r="BI19" s="5"/>
      <c r="BJ19" s="3"/>
      <c r="BK19" s="4"/>
      <c r="BL19" s="9"/>
      <c r="BM19" s="10"/>
      <c r="BN19" s="10"/>
      <c r="BO19" s="5"/>
      <c r="BP19" s="3"/>
      <c r="BQ19" s="4"/>
      <c r="BR19" s="9"/>
      <c r="BS19" s="10"/>
      <c r="BT19" s="10"/>
      <c r="BU19" s="5"/>
      <c r="BV19" s="3"/>
      <c r="BW19" s="4"/>
      <c r="BX19" s="9"/>
      <c r="BY19" s="10"/>
      <c r="BZ19" s="10"/>
      <c r="CA19" s="5"/>
      <c r="CB19" s="3"/>
      <c r="CC19" s="4"/>
      <c r="CD19" s="9"/>
      <c r="CE19" s="10"/>
      <c r="CF19" s="10"/>
      <c r="CG19" s="5"/>
      <c r="CH19" s="3"/>
      <c r="CI19" s="4"/>
      <c r="CJ19" s="9"/>
      <c r="CK19" s="10"/>
      <c r="CL19" s="10"/>
      <c r="CM19" s="5"/>
      <c r="CN19" s="3"/>
      <c r="CO19" s="4"/>
      <c r="CP19" s="9"/>
      <c r="CQ19" s="10"/>
      <c r="CR19" s="10"/>
      <c r="CS19" s="5"/>
      <c r="CT19" s="3"/>
      <c r="CU19" s="4"/>
      <c r="CV19" s="9"/>
      <c r="CW19" s="10"/>
      <c r="CX19" s="10"/>
      <c r="CY19" s="5"/>
      <c r="CZ19" s="3"/>
      <c r="DA19" s="4"/>
      <c r="DB19" s="9"/>
      <c r="DC19" s="10"/>
      <c r="DD19" s="10"/>
      <c r="DE19" s="5"/>
      <c r="DF19" s="3"/>
      <c r="DG19" s="4"/>
      <c r="DH19" s="9"/>
      <c r="DI19" s="10"/>
      <c r="DJ19" s="10"/>
      <c r="DK19" s="5"/>
      <c r="DL19" s="3"/>
      <c r="DM19" s="4"/>
      <c r="DN19" s="9"/>
      <c r="DO19" s="10"/>
      <c r="DP19" s="10"/>
      <c r="DQ19" s="5"/>
      <c r="DR19" s="3"/>
      <c r="DS19" s="4"/>
      <c r="DT19" s="9"/>
      <c r="DU19" s="10"/>
      <c r="DV19" s="10"/>
      <c r="DW19" s="5"/>
      <c r="DX19" s="3"/>
      <c r="DY19" s="4"/>
      <c r="DZ19" s="9"/>
      <c r="EA19" s="10"/>
      <c r="EB19" s="10"/>
      <c r="EC19" s="5"/>
      <c r="ED19" s="3"/>
      <c r="EE19" s="4"/>
      <c r="EF19" s="11"/>
      <c r="EG19" s="15"/>
      <c r="EH19" s="12"/>
      <c r="EI19" s="16"/>
    </row>
    <row r="20" spans="1:139" ht="24" customHeight="1" x14ac:dyDescent="0.25">
      <c r="B20" s="219"/>
      <c r="C20" s="207"/>
      <c r="D20" s="11"/>
      <c r="E20" s="12"/>
      <c r="F20" s="12"/>
      <c r="G20" s="7"/>
      <c r="H20" s="6"/>
      <c r="I20" s="8"/>
      <c r="J20" s="11"/>
      <c r="K20" s="12"/>
      <c r="L20" s="12"/>
      <c r="M20" s="7"/>
      <c r="N20" s="6"/>
      <c r="O20" s="8"/>
      <c r="P20" s="11"/>
      <c r="Q20" s="12"/>
      <c r="R20" s="12"/>
      <c r="S20" s="7"/>
      <c r="T20" s="6"/>
      <c r="U20" s="8"/>
      <c r="V20" s="11"/>
      <c r="W20" s="12"/>
      <c r="X20" s="12"/>
      <c r="Y20" s="7"/>
      <c r="Z20" s="6"/>
      <c r="AA20" s="8"/>
      <c r="AB20" s="11"/>
      <c r="AC20" s="12"/>
      <c r="AD20" s="12"/>
      <c r="AE20" s="7"/>
      <c r="AF20" s="6"/>
      <c r="AG20" s="8"/>
      <c r="AH20" s="11"/>
      <c r="AI20" s="12"/>
      <c r="AJ20" s="12"/>
      <c r="AK20" s="7"/>
      <c r="AL20" s="6"/>
      <c r="AM20" s="8"/>
      <c r="AN20" s="11"/>
      <c r="AO20" s="12"/>
      <c r="AP20" s="12"/>
      <c r="AQ20" s="7"/>
      <c r="AR20" s="6"/>
      <c r="AS20" s="8"/>
      <c r="AT20" s="11"/>
      <c r="AU20" s="12"/>
      <c r="AV20" s="12"/>
      <c r="AW20" s="7"/>
      <c r="AX20" s="6"/>
      <c r="AY20" s="8"/>
      <c r="AZ20" s="11"/>
      <c r="BA20" s="12"/>
      <c r="BB20" s="12"/>
      <c r="BC20" s="7"/>
      <c r="BD20" s="6"/>
      <c r="BE20" s="8"/>
      <c r="BF20" s="11"/>
      <c r="BG20" s="12"/>
      <c r="BH20" s="12"/>
      <c r="BI20" s="7"/>
      <c r="BJ20" s="6"/>
      <c r="BK20" s="8"/>
      <c r="BL20" s="11"/>
      <c r="BM20" s="12"/>
      <c r="BN20" s="12"/>
      <c r="BO20" s="7"/>
      <c r="BP20" s="6"/>
      <c r="BQ20" s="8"/>
      <c r="BR20" s="11"/>
      <c r="BS20" s="12"/>
      <c r="BT20" s="12"/>
      <c r="BU20" s="7"/>
      <c r="BV20" s="6"/>
      <c r="BW20" s="8"/>
      <c r="BX20" s="11"/>
      <c r="BY20" s="12"/>
      <c r="BZ20" s="12"/>
      <c r="CA20" s="7"/>
      <c r="CB20" s="6"/>
      <c r="CC20" s="8"/>
      <c r="CD20" s="11"/>
      <c r="CE20" s="12"/>
      <c r="CF20" s="12"/>
      <c r="CG20" s="7"/>
      <c r="CH20" s="6"/>
      <c r="CI20" s="8"/>
      <c r="CJ20" s="11"/>
      <c r="CK20" s="12"/>
      <c r="CL20" s="12"/>
      <c r="CM20" s="7"/>
      <c r="CN20" s="6"/>
      <c r="CO20" s="8"/>
      <c r="CP20" s="11"/>
      <c r="CQ20" s="12"/>
      <c r="CR20" s="12"/>
      <c r="CS20" s="7"/>
      <c r="CT20" s="6"/>
      <c r="CU20" s="8"/>
      <c r="CV20" s="11"/>
      <c r="CW20" s="12"/>
      <c r="CX20" s="12"/>
      <c r="CY20" s="7"/>
      <c r="CZ20" s="6"/>
      <c r="DA20" s="8"/>
      <c r="DB20" s="11"/>
      <c r="DC20" s="12"/>
      <c r="DD20" s="12"/>
      <c r="DE20" s="7"/>
      <c r="DF20" s="6"/>
      <c r="DG20" s="8"/>
      <c r="DH20" s="11"/>
      <c r="DI20" s="12"/>
      <c r="DJ20" s="12"/>
      <c r="DK20" s="7"/>
      <c r="DL20" s="6"/>
      <c r="DM20" s="8"/>
      <c r="DN20" s="11"/>
      <c r="DO20" s="12"/>
      <c r="DP20" s="12"/>
      <c r="DQ20" s="7"/>
      <c r="DR20" s="6"/>
      <c r="DS20" s="8"/>
      <c r="DT20" s="11"/>
      <c r="DU20" s="12"/>
      <c r="DV20" s="12"/>
      <c r="DW20" s="7"/>
      <c r="DX20" s="6"/>
      <c r="DY20" s="8"/>
      <c r="DZ20" s="11"/>
      <c r="EA20" s="12"/>
      <c r="EB20" s="12"/>
      <c r="EC20" s="7"/>
      <c r="ED20" s="6"/>
      <c r="EE20" s="8"/>
      <c r="EF20" s="11"/>
      <c r="EG20" s="15"/>
      <c r="EH20" s="12"/>
      <c r="EI20" s="16"/>
    </row>
    <row r="21" spans="1:139" ht="24" customHeight="1" x14ac:dyDescent="0.25">
      <c r="B21" s="219"/>
      <c r="C21" s="207"/>
      <c r="D21" s="11"/>
      <c r="E21" s="12"/>
      <c r="F21" s="12"/>
      <c r="G21" s="7"/>
      <c r="H21" s="6"/>
      <c r="I21" s="8"/>
      <c r="J21" s="11"/>
      <c r="K21" s="12"/>
      <c r="L21" s="12"/>
      <c r="M21" s="7"/>
      <c r="N21" s="6"/>
      <c r="O21" s="8"/>
      <c r="P21" s="11"/>
      <c r="Q21" s="12"/>
      <c r="R21" s="12"/>
      <c r="S21" s="7"/>
      <c r="T21" s="6"/>
      <c r="U21" s="8"/>
      <c r="V21" s="11"/>
      <c r="W21" s="12"/>
      <c r="X21" s="12"/>
      <c r="Y21" s="7"/>
      <c r="Z21" s="6"/>
      <c r="AA21" s="8"/>
      <c r="AB21" s="11"/>
      <c r="AC21" s="12"/>
      <c r="AD21" s="12"/>
      <c r="AE21" s="7"/>
      <c r="AF21" s="6"/>
      <c r="AG21" s="8"/>
      <c r="AH21" s="11"/>
      <c r="AI21" s="12"/>
      <c r="AJ21" s="12"/>
      <c r="AK21" s="7"/>
      <c r="AL21" s="6"/>
      <c r="AM21" s="8"/>
      <c r="AN21" s="11"/>
      <c r="AO21" s="12"/>
      <c r="AP21" s="12"/>
      <c r="AQ21" s="7"/>
      <c r="AR21" s="6"/>
      <c r="AS21" s="8"/>
      <c r="AT21" s="11"/>
      <c r="AU21" s="12"/>
      <c r="AV21" s="12"/>
      <c r="AW21" s="7"/>
      <c r="AX21" s="6"/>
      <c r="AY21" s="8"/>
      <c r="AZ21" s="11"/>
      <c r="BA21" s="12"/>
      <c r="BB21" s="12"/>
      <c r="BC21" s="7"/>
      <c r="BD21" s="6"/>
      <c r="BE21" s="8"/>
      <c r="BF21" s="11"/>
      <c r="BG21" s="12"/>
      <c r="BH21" s="12"/>
      <c r="BI21" s="7"/>
      <c r="BJ21" s="6"/>
      <c r="BK21" s="8"/>
      <c r="BL21" s="11"/>
      <c r="BM21" s="12"/>
      <c r="BN21" s="12"/>
      <c r="BO21" s="7"/>
      <c r="BP21" s="6"/>
      <c r="BQ21" s="8"/>
      <c r="BR21" s="11"/>
      <c r="BS21" s="12"/>
      <c r="BT21" s="12"/>
      <c r="BU21" s="7"/>
      <c r="BV21" s="6"/>
      <c r="BW21" s="8"/>
      <c r="BX21" s="11"/>
      <c r="BY21" s="12"/>
      <c r="BZ21" s="12"/>
      <c r="CA21" s="7"/>
      <c r="CB21" s="6"/>
      <c r="CC21" s="8"/>
      <c r="CD21" s="11"/>
      <c r="CE21" s="12"/>
      <c r="CF21" s="12"/>
      <c r="CG21" s="7"/>
      <c r="CH21" s="6"/>
      <c r="CI21" s="8"/>
      <c r="CJ21" s="11"/>
      <c r="CK21" s="12"/>
      <c r="CL21" s="12"/>
      <c r="CM21" s="7"/>
      <c r="CN21" s="6"/>
      <c r="CO21" s="8"/>
      <c r="CP21" s="11"/>
      <c r="CQ21" s="12"/>
      <c r="CR21" s="12"/>
      <c r="CS21" s="7"/>
      <c r="CT21" s="6"/>
      <c r="CU21" s="8"/>
      <c r="CV21" s="11"/>
      <c r="CW21" s="12"/>
      <c r="CX21" s="12"/>
      <c r="CY21" s="7"/>
      <c r="CZ21" s="6"/>
      <c r="DA21" s="8"/>
      <c r="DB21" s="11"/>
      <c r="DC21" s="12"/>
      <c r="DD21" s="12"/>
      <c r="DE21" s="7"/>
      <c r="DF21" s="6"/>
      <c r="DG21" s="8"/>
      <c r="DH21" s="11"/>
      <c r="DI21" s="12"/>
      <c r="DJ21" s="12"/>
      <c r="DK21" s="7"/>
      <c r="DL21" s="6"/>
      <c r="DM21" s="8"/>
      <c r="DN21" s="11"/>
      <c r="DO21" s="12"/>
      <c r="DP21" s="12"/>
      <c r="DQ21" s="7"/>
      <c r="DR21" s="6"/>
      <c r="DS21" s="8"/>
      <c r="DT21" s="11"/>
      <c r="DU21" s="12"/>
      <c r="DV21" s="12"/>
      <c r="DW21" s="7"/>
      <c r="DX21" s="6"/>
      <c r="DY21" s="8"/>
      <c r="DZ21" s="11"/>
      <c r="EA21" s="12"/>
      <c r="EB21" s="12"/>
      <c r="EC21" s="7"/>
      <c r="ED21" s="6"/>
      <c r="EE21" s="8"/>
      <c r="EF21" s="11"/>
      <c r="EG21" s="15"/>
      <c r="EH21" s="12"/>
      <c r="EI21" s="16"/>
    </row>
    <row r="22" spans="1:139" ht="24" customHeight="1" x14ac:dyDescent="0.25">
      <c r="B22" s="219"/>
      <c r="C22" s="207"/>
      <c r="D22" s="11"/>
      <c r="E22" s="12"/>
      <c r="F22" s="12"/>
      <c r="G22" s="7"/>
      <c r="H22" s="6"/>
      <c r="I22" s="8"/>
      <c r="J22" s="11"/>
      <c r="K22" s="12"/>
      <c r="L22" s="12"/>
      <c r="M22" s="7"/>
      <c r="N22" s="6"/>
      <c r="O22" s="8"/>
      <c r="P22" s="11"/>
      <c r="Q22" s="12"/>
      <c r="R22" s="12"/>
      <c r="S22" s="7"/>
      <c r="T22" s="6"/>
      <c r="U22" s="8"/>
      <c r="V22" s="11"/>
      <c r="W22" s="12"/>
      <c r="X22" s="12"/>
      <c r="Y22" s="7"/>
      <c r="Z22" s="6"/>
      <c r="AA22" s="8"/>
      <c r="AB22" s="11"/>
      <c r="AC22" s="12"/>
      <c r="AD22" s="12"/>
      <c r="AE22" s="7"/>
      <c r="AF22" s="6"/>
      <c r="AG22" s="8"/>
      <c r="AH22" s="11"/>
      <c r="AI22" s="12"/>
      <c r="AJ22" s="12"/>
      <c r="AK22" s="7"/>
      <c r="AL22" s="6"/>
      <c r="AM22" s="8"/>
      <c r="AN22" s="11"/>
      <c r="AO22" s="12"/>
      <c r="AP22" s="12"/>
      <c r="AQ22" s="7"/>
      <c r="AR22" s="6"/>
      <c r="AS22" s="8"/>
      <c r="AT22" s="11"/>
      <c r="AU22" s="12"/>
      <c r="AV22" s="12"/>
      <c r="AW22" s="7"/>
      <c r="AX22" s="6"/>
      <c r="AY22" s="8"/>
      <c r="AZ22" s="11"/>
      <c r="BA22" s="12"/>
      <c r="BB22" s="12"/>
      <c r="BC22" s="7"/>
      <c r="BD22" s="6"/>
      <c r="BE22" s="8"/>
      <c r="BF22" s="11"/>
      <c r="BG22" s="12"/>
      <c r="BH22" s="12"/>
      <c r="BI22" s="7"/>
      <c r="BJ22" s="6"/>
      <c r="BK22" s="8"/>
      <c r="BL22" s="11"/>
      <c r="BM22" s="12"/>
      <c r="BN22" s="12"/>
      <c r="BO22" s="7"/>
      <c r="BP22" s="6"/>
      <c r="BQ22" s="8"/>
      <c r="BR22" s="11"/>
      <c r="BS22" s="12"/>
      <c r="BT22" s="12"/>
      <c r="BU22" s="7"/>
      <c r="BV22" s="6"/>
      <c r="BW22" s="8"/>
      <c r="BX22" s="11"/>
      <c r="BY22" s="12"/>
      <c r="BZ22" s="12"/>
      <c r="CA22" s="7"/>
      <c r="CB22" s="6"/>
      <c r="CC22" s="8"/>
      <c r="CD22" s="11"/>
      <c r="CE22" s="12"/>
      <c r="CF22" s="12"/>
      <c r="CG22" s="7"/>
      <c r="CH22" s="6"/>
      <c r="CI22" s="8"/>
      <c r="CJ22" s="11"/>
      <c r="CK22" s="12"/>
      <c r="CL22" s="12"/>
      <c r="CM22" s="7"/>
      <c r="CN22" s="6"/>
      <c r="CO22" s="8"/>
      <c r="CP22" s="11"/>
      <c r="CQ22" s="12"/>
      <c r="CR22" s="12"/>
      <c r="CS22" s="7"/>
      <c r="CT22" s="6"/>
      <c r="CU22" s="8"/>
      <c r="CV22" s="11"/>
      <c r="CW22" s="12"/>
      <c r="CX22" s="12"/>
      <c r="CY22" s="7"/>
      <c r="CZ22" s="6"/>
      <c r="DA22" s="8"/>
      <c r="DB22" s="11"/>
      <c r="DC22" s="12"/>
      <c r="DD22" s="12"/>
      <c r="DE22" s="7"/>
      <c r="DF22" s="6"/>
      <c r="DG22" s="8"/>
      <c r="DH22" s="11"/>
      <c r="DI22" s="12"/>
      <c r="DJ22" s="12"/>
      <c r="DK22" s="7"/>
      <c r="DL22" s="6"/>
      <c r="DM22" s="8"/>
      <c r="DN22" s="11"/>
      <c r="DO22" s="12"/>
      <c r="DP22" s="12"/>
      <c r="DQ22" s="7"/>
      <c r="DR22" s="6"/>
      <c r="DS22" s="8"/>
      <c r="DT22" s="11"/>
      <c r="DU22" s="12"/>
      <c r="DV22" s="12"/>
      <c r="DW22" s="7"/>
      <c r="DX22" s="6"/>
      <c r="DY22" s="8"/>
      <c r="DZ22" s="11"/>
      <c r="EA22" s="12"/>
      <c r="EB22" s="12"/>
      <c r="EC22" s="7"/>
      <c r="ED22" s="6"/>
      <c r="EE22" s="8"/>
      <c r="EF22" s="11"/>
      <c r="EG22" s="15"/>
      <c r="EH22" s="12"/>
      <c r="EI22" s="16"/>
    </row>
    <row r="23" spans="1:139" ht="24" customHeight="1" x14ac:dyDescent="0.25">
      <c r="B23" s="219"/>
      <c r="C23" s="207"/>
      <c r="D23" s="11"/>
      <c r="E23" s="12"/>
      <c r="F23" s="12"/>
      <c r="G23" s="7"/>
      <c r="H23" s="6"/>
      <c r="I23" s="8"/>
      <c r="J23" s="11"/>
      <c r="K23" s="12"/>
      <c r="L23" s="12"/>
      <c r="M23" s="7"/>
      <c r="N23" s="6"/>
      <c r="O23" s="8"/>
      <c r="P23" s="11"/>
      <c r="Q23" s="12"/>
      <c r="R23" s="12"/>
      <c r="S23" s="7"/>
      <c r="T23" s="6"/>
      <c r="U23" s="8"/>
      <c r="V23" s="11"/>
      <c r="W23" s="12"/>
      <c r="X23" s="12"/>
      <c r="Y23" s="7"/>
      <c r="Z23" s="6"/>
      <c r="AA23" s="8"/>
      <c r="AB23" s="11"/>
      <c r="AC23" s="12"/>
      <c r="AD23" s="12"/>
      <c r="AE23" s="7"/>
      <c r="AF23" s="6"/>
      <c r="AG23" s="8"/>
      <c r="AH23" s="11"/>
      <c r="AI23" s="12"/>
      <c r="AJ23" s="12"/>
      <c r="AK23" s="7"/>
      <c r="AL23" s="6"/>
      <c r="AM23" s="8"/>
      <c r="AN23" s="11"/>
      <c r="AO23" s="12"/>
      <c r="AP23" s="12"/>
      <c r="AQ23" s="7"/>
      <c r="AR23" s="6"/>
      <c r="AS23" s="8"/>
      <c r="AT23" s="11"/>
      <c r="AU23" s="12"/>
      <c r="AV23" s="12"/>
      <c r="AW23" s="7"/>
      <c r="AX23" s="6"/>
      <c r="AY23" s="8"/>
      <c r="AZ23" s="11"/>
      <c r="BA23" s="12"/>
      <c r="BB23" s="12"/>
      <c r="BC23" s="7"/>
      <c r="BD23" s="6"/>
      <c r="BE23" s="8"/>
      <c r="BF23" s="11"/>
      <c r="BG23" s="12"/>
      <c r="BH23" s="12"/>
      <c r="BI23" s="7"/>
      <c r="BJ23" s="6"/>
      <c r="BK23" s="8"/>
      <c r="BL23" s="11"/>
      <c r="BM23" s="12"/>
      <c r="BN23" s="12"/>
      <c r="BO23" s="7"/>
      <c r="BP23" s="6"/>
      <c r="BQ23" s="8"/>
      <c r="BR23" s="11"/>
      <c r="BS23" s="12"/>
      <c r="BT23" s="12"/>
      <c r="BU23" s="7"/>
      <c r="BV23" s="6"/>
      <c r="BW23" s="8"/>
      <c r="BX23" s="11"/>
      <c r="BY23" s="12"/>
      <c r="BZ23" s="12"/>
      <c r="CA23" s="7"/>
      <c r="CB23" s="6"/>
      <c r="CC23" s="8"/>
      <c r="CD23" s="11"/>
      <c r="CE23" s="12"/>
      <c r="CF23" s="12"/>
      <c r="CG23" s="7"/>
      <c r="CH23" s="6"/>
      <c r="CI23" s="8"/>
      <c r="CJ23" s="11"/>
      <c r="CK23" s="12"/>
      <c r="CL23" s="12"/>
      <c r="CM23" s="7"/>
      <c r="CN23" s="6"/>
      <c r="CO23" s="8"/>
      <c r="CP23" s="11"/>
      <c r="CQ23" s="12"/>
      <c r="CR23" s="12"/>
      <c r="CS23" s="7"/>
      <c r="CT23" s="6"/>
      <c r="CU23" s="8"/>
      <c r="CV23" s="11"/>
      <c r="CW23" s="12"/>
      <c r="CX23" s="12"/>
      <c r="CY23" s="7"/>
      <c r="CZ23" s="6"/>
      <c r="DA23" s="8"/>
      <c r="DB23" s="11"/>
      <c r="DC23" s="12"/>
      <c r="DD23" s="12"/>
      <c r="DE23" s="7"/>
      <c r="DF23" s="6"/>
      <c r="DG23" s="8"/>
      <c r="DH23" s="11"/>
      <c r="DI23" s="12"/>
      <c r="DJ23" s="12"/>
      <c r="DK23" s="7"/>
      <c r="DL23" s="6"/>
      <c r="DM23" s="8"/>
      <c r="DN23" s="11"/>
      <c r="DO23" s="12"/>
      <c r="DP23" s="12"/>
      <c r="DQ23" s="7"/>
      <c r="DR23" s="6"/>
      <c r="DS23" s="8"/>
      <c r="DT23" s="11"/>
      <c r="DU23" s="12"/>
      <c r="DV23" s="12"/>
      <c r="DW23" s="7"/>
      <c r="DX23" s="6"/>
      <c r="DY23" s="8"/>
      <c r="DZ23" s="11"/>
      <c r="EA23" s="12"/>
      <c r="EB23" s="12"/>
      <c r="EC23" s="7"/>
      <c r="ED23" s="6"/>
      <c r="EE23" s="8"/>
      <c r="EF23" s="11"/>
      <c r="EG23" s="15"/>
      <c r="EH23" s="12"/>
      <c r="EI23" s="16"/>
    </row>
    <row r="24" spans="1:139" ht="24" customHeight="1" x14ac:dyDescent="0.25">
      <c r="B24" s="219"/>
      <c r="C24" s="207"/>
      <c r="D24" s="11"/>
      <c r="E24" s="12"/>
      <c r="F24" s="12"/>
      <c r="G24" s="7"/>
      <c r="H24" s="6"/>
      <c r="I24" s="8"/>
      <c r="J24" s="11"/>
      <c r="K24" s="12"/>
      <c r="L24" s="12"/>
      <c r="M24" s="7"/>
      <c r="N24" s="6"/>
      <c r="O24" s="8"/>
      <c r="P24" s="11"/>
      <c r="Q24" s="12"/>
      <c r="R24" s="12"/>
      <c r="S24" s="7"/>
      <c r="T24" s="6"/>
      <c r="U24" s="8"/>
      <c r="V24" s="11"/>
      <c r="W24" s="12"/>
      <c r="X24" s="12"/>
      <c r="Y24" s="7"/>
      <c r="Z24" s="6"/>
      <c r="AA24" s="8"/>
      <c r="AB24" s="11"/>
      <c r="AC24" s="12"/>
      <c r="AD24" s="12"/>
      <c r="AE24" s="7"/>
      <c r="AF24" s="6"/>
      <c r="AG24" s="8"/>
      <c r="AH24" s="11"/>
      <c r="AI24" s="12"/>
      <c r="AJ24" s="12"/>
      <c r="AK24" s="7"/>
      <c r="AL24" s="6"/>
      <c r="AM24" s="8"/>
      <c r="AN24" s="11"/>
      <c r="AO24" s="12"/>
      <c r="AP24" s="12"/>
      <c r="AQ24" s="7"/>
      <c r="AR24" s="6"/>
      <c r="AS24" s="8"/>
      <c r="AT24" s="11"/>
      <c r="AU24" s="12"/>
      <c r="AV24" s="12"/>
      <c r="AW24" s="7"/>
      <c r="AX24" s="6"/>
      <c r="AY24" s="8"/>
      <c r="AZ24" s="11"/>
      <c r="BA24" s="12"/>
      <c r="BB24" s="12"/>
      <c r="BC24" s="7"/>
      <c r="BD24" s="6"/>
      <c r="BE24" s="8"/>
      <c r="BF24" s="11"/>
      <c r="BG24" s="12"/>
      <c r="BH24" s="12"/>
      <c r="BI24" s="7"/>
      <c r="BJ24" s="6"/>
      <c r="BK24" s="8"/>
      <c r="BL24" s="11"/>
      <c r="BM24" s="12"/>
      <c r="BN24" s="12"/>
      <c r="BO24" s="7"/>
      <c r="BP24" s="6"/>
      <c r="BQ24" s="8"/>
      <c r="BR24" s="11"/>
      <c r="BS24" s="12"/>
      <c r="BT24" s="12"/>
      <c r="BU24" s="7"/>
      <c r="BV24" s="6"/>
      <c r="BW24" s="8"/>
      <c r="BX24" s="11"/>
      <c r="BY24" s="12"/>
      <c r="BZ24" s="12"/>
      <c r="CA24" s="7"/>
      <c r="CB24" s="6"/>
      <c r="CC24" s="8"/>
      <c r="CD24" s="11"/>
      <c r="CE24" s="12"/>
      <c r="CF24" s="12"/>
      <c r="CG24" s="7"/>
      <c r="CH24" s="6"/>
      <c r="CI24" s="8"/>
      <c r="CJ24" s="11"/>
      <c r="CK24" s="12"/>
      <c r="CL24" s="12"/>
      <c r="CM24" s="7"/>
      <c r="CN24" s="6"/>
      <c r="CO24" s="8"/>
      <c r="CP24" s="11"/>
      <c r="CQ24" s="12"/>
      <c r="CR24" s="12"/>
      <c r="CS24" s="7"/>
      <c r="CT24" s="6"/>
      <c r="CU24" s="8"/>
      <c r="CV24" s="11"/>
      <c r="CW24" s="12"/>
      <c r="CX24" s="12"/>
      <c r="CY24" s="7"/>
      <c r="CZ24" s="6"/>
      <c r="DA24" s="8"/>
      <c r="DB24" s="11"/>
      <c r="DC24" s="12"/>
      <c r="DD24" s="12"/>
      <c r="DE24" s="7"/>
      <c r="DF24" s="6"/>
      <c r="DG24" s="8"/>
      <c r="DH24" s="11"/>
      <c r="DI24" s="12"/>
      <c r="DJ24" s="12"/>
      <c r="DK24" s="7"/>
      <c r="DL24" s="6"/>
      <c r="DM24" s="8"/>
      <c r="DN24" s="11"/>
      <c r="DO24" s="12"/>
      <c r="DP24" s="12"/>
      <c r="DQ24" s="7"/>
      <c r="DR24" s="6"/>
      <c r="DS24" s="8"/>
      <c r="DT24" s="11"/>
      <c r="DU24" s="12"/>
      <c r="DV24" s="12"/>
      <c r="DW24" s="7"/>
      <c r="DX24" s="6"/>
      <c r="DY24" s="8"/>
      <c r="DZ24" s="11"/>
      <c r="EA24" s="12"/>
      <c r="EB24" s="12"/>
      <c r="EC24" s="7"/>
      <c r="ED24" s="6"/>
      <c r="EE24" s="8"/>
      <c r="EF24" s="11"/>
      <c r="EG24" s="15"/>
      <c r="EH24" s="12"/>
      <c r="EI24" s="16"/>
    </row>
    <row r="25" spans="1:139" ht="24" customHeight="1" x14ac:dyDescent="0.25">
      <c r="B25" s="219"/>
      <c r="C25" s="207"/>
      <c r="D25" s="11"/>
      <c r="E25" s="12"/>
      <c r="F25" s="12"/>
      <c r="G25" s="7"/>
      <c r="H25" s="6"/>
      <c r="I25" s="8"/>
      <c r="J25" s="11"/>
      <c r="K25" s="12"/>
      <c r="L25" s="12"/>
      <c r="M25" s="7"/>
      <c r="N25" s="6"/>
      <c r="O25" s="8"/>
      <c r="P25" s="11"/>
      <c r="Q25" s="12"/>
      <c r="R25" s="12"/>
      <c r="S25" s="7"/>
      <c r="T25" s="6"/>
      <c r="U25" s="8"/>
      <c r="V25" s="11"/>
      <c r="W25" s="12"/>
      <c r="X25" s="12"/>
      <c r="Y25" s="7"/>
      <c r="Z25" s="6"/>
      <c r="AA25" s="8"/>
      <c r="AB25" s="11"/>
      <c r="AC25" s="12"/>
      <c r="AD25" s="12"/>
      <c r="AE25" s="7"/>
      <c r="AF25" s="6"/>
      <c r="AG25" s="8"/>
      <c r="AH25" s="11"/>
      <c r="AI25" s="12"/>
      <c r="AJ25" s="12"/>
      <c r="AK25" s="7"/>
      <c r="AL25" s="6"/>
      <c r="AM25" s="8"/>
      <c r="AN25" s="11"/>
      <c r="AO25" s="12"/>
      <c r="AP25" s="12"/>
      <c r="AQ25" s="7"/>
      <c r="AR25" s="6"/>
      <c r="AS25" s="8"/>
      <c r="AT25" s="11"/>
      <c r="AU25" s="12"/>
      <c r="AV25" s="12"/>
      <c r="AW25" s="7"/>
      <c r="AX25" s="6"/>
      <c r="AY25" s="8"/>
      <c r="AZ25" s="11"/>
      <c r="BA25" s="12"/>
      <c r="BB25" s="12"/>
      <c r="BC25" s="7"/>
      <c r="BD25" s="6"/>
      <c r="BE25" s="8"/>
      <c r="BF25" s="11"/>
      <c r="BG25" s="12"/>
      <c r="BH25" s="12"/>
      <c r="BI25" s="7"/>
      <c r="BJ25" s="6"/>
      <c r="BK25" s="8"/>
      <c r="BL25" s="11"/>
      <c r="BM25" s="12"/>
      <c r="BN25" s="12"/>
      <c r="BO25" s="7"/>
      <c r="BP25" s="6"/>
      <c r="BQ25" s="8"/>
      <c r="BR25" s="11"/>
      <c r="BS25" s="12"/>
      <c r="BT25" s="12"/>
      <c r="BU25" s="7"/>
      <c r="BV25" s="6"/>
      <c r="BW25" s="8"/>
      <c r="BX25" s="11"/>
      <c r="BY25" s="12"/>
      <c r="BZ25" s="12"/>
      <c r="CA25" s="7"/>
      <c r="CB25" s="6"/>
      <c r="CC25" s="8"/>
      <c r="CD25" s="11"/>
      <c r="CE25" s="12"/>
      <c r="CF25" s="12"/>
      <c r="CG25" s="7"/>
      <c r="CH25" s="6"/>
      <c r="CI25" s="8"/>
      <c r="CJ25" s="11"/>
      <c r="CK25" s="12"/>
      <c r="CL25" s="12"/>
      <c r="CM25" s="7"/>
      <c r="CN25" s="6"/>
      <c r="CO25" s="8"/>
      <c r="CP25" s="11"/>
      <c r="CQ25" s="12"/>
      <c r="CR25" s="12"/>
      <c r="CS25" s="7"/>
      <c r="CT25" s="6"/>
      <c r="CU25" s="8"/>
      <c r="CV25" s="11"/>
      <c r="CW25" s="12"/>
      <c r="CX25" s="12"/>
      <c r="CY25" s="7"/>
      <c r="CZ25" s="6"/>
      <c r="DA25" s="8"/>
      <c r="DB25" s="11"/>
      <c r="DC25" s="12"/>
      <c r="DD25" s="12"/>
      <c r="DE25" s="7"/>
      <c r="DF25" s="6"/>
      <c r="DG25" s="8"/>
      <c r="DH25" s="11"/>
      <c r="DI25" s="12"/>
      <c r="DJ25" s="12"/>
      <c r="DK25" s="7"/>
      <c r="DL25" s="6"/>
      <c r="DM25" s="8"/>
      <c r="DN25" s="11"/>
      <c r="DO25" s="12"/>
      <c r="DP25" s="12"/>
      <c r="DQ25" s="7"/>
      <c r="DR25" s="6"/>
      <c r="DS25" s="8"/>
      <c r="DT25" s="11"/>
      <c r="DU25" s="12"/>
      <c r="DV25" s="12"/>
      <c r="DW25" s="7"/>
      <c r="DX25" s="6"/>
      <c r="DY25" s="8"/>
      <c r="DZ25" s="11"/>
      <c r="EA25" s="12"/>
      <c r="EB25" s="12"/>
      <c r="EC25" s="7"/>
      <c r="ED25" s="6"/>
      <c r="EE25" s="8"/>
      <c r="EF25" s="11"/>
      <c r="EG25" s="15"/>
      <c r="EH25" s="12"/>
      <c r="EI25" s="16"/>
    </row>
    <row r="26" spans="1:139" ht="24" customHeight="1" thickBot="1" x14ac:dyDescent="0.3">
      <c r="B26" s="219"/>
      <c r="C26" s="207"/>
      <c r="D26" s="88"/>
      <c r="E26" s="89"/>
      <c r="F26" s="89"/>
      <c r="G26" s="90"/>
      <c r="H26" s="91"/>
      <c r="I26" s="92"/>
      <c r="J26" s="88"/>
      <c r="K26" s="89"/>
      <c r="L26" s="89"/>
      <c r="M26" s="90"/>
      <c r="N26" s="91"/>
      <c r="O26" s="92"/>
      <c r="P26" s="88"/>
      <c r="Q26" s="89"/>
      <c r="R26" s="89"/>
      <c r="S26" s="90"/>
      <c r="T26" s="91"/>
      <c r="U26" s="92"/>
      <c r="V26" s="88"/>
      <c r="W26" s="89"/>
      <c r="X26" s="89"/>
      <c r="Y26" s="90"/>
      <c r="Z26" s="91"/>
      <c r="AA26" s="92"/>
      <c r="AB26" s="88"/>
      <c r="AC26" s="89"/>
      <c r="AD26" s="89"/>
      <c r="AE26" s="90"/>
      <c r="AF26" s="91"/>
      <c r="AG26" s="92"/>
      <c r="AH26" s="88"/>
      <c r="AI26" s="89"/>
      <c r="AJ26" s="89"/>
      <c r="AK26" s="90"/>
      <c r="AL26" s="91"/>
      <c r="AM26" s="92"/>
      <c r="AN26" s="88"/>
      <c r="AO26" s="89"/>
      <c r="AP26" s="89"/>
      <c r="AQ26" s="90"/>
      <c r="AR26" s="91"/>
      <c r="AS26" s="92"/>
      <c r="AT26" s="88"/>
      <c r="AU26" s="89"/>
      <c r="AV26" s="89"/>
      <c r="AW26" s="90"/>
      <c r="AX26" s="91"/>
      <c r="AY26" s="92"/>
      <c r="AZ26" s="88"/>
      <c r="BA26" s="89"/>
      <c r="BB26" s="89"/>
      <c r="BC26" s="90"/>
      <c r="BD26" s="91"/>
      <c r="BE26" s="92"/>
      <c r="BF26" s="88"/>
      <c r="BG26" s="89"/>
      <c r="BH26" s="89"/>
      <c r="BI26" s="90"/>
      <c r="BJ26" s="91"/>
      <c r="BK26" s="92"/>
      <c r="BL26" s="88"/>
      <c r="BM26" s="89"/>
      <c r="BN26" s="89"/>
      <c r="BO26" s="90"/>
      <c r="BP26" s="91"/>
      <c r="BQ26" s="92"/>
      <c r="BR26" s="88"/>
      <c r="BS26" s="89"/>
      <c r="BT26" s="89"/>
      <c r="BU26" s="90"/>
      <c r="BV26" s="91"/>
      <c r="BW26" s="92"/>
      <c r="BX26" s="88"/>
      <c r="BY26" s="89"/>
      <c r="BZ26" s="89"/>
      <c r="CA26" s="90"/>
      <c r="CB26" s="91"/>
      <c r="CC26" s="92"/>
      <c r="CD26" s="88"/>
      <c r="CE26" s="89"/>
      <c r="CF26" s="89"/>
      <c r="CG26" s="90"/>
      <c r="CH26" s="91"/>
      <c r="CI26" s="92"/>
      <c r="CJ26" s="88"/>
      <c r="CK26" s="89"/>
      <c r="CL26" s="89"/>
      <c r="CM26" s="90"/>
      <c r="CN26" s="91"/>
      <c r="CO26" s="92"/>
      <c r="CP26" s="88"/>
      <c r="CQ26" s="89"/>
      <c r="CR26" s="89"/>
      <c r="CS26" s="90"/>
      <c r="CT26" s="91"/>
      <c r="CU26" s="92"/>
      <c r="CV26" s="88"/>
      <c r="CW26" s="89"/>
      <c r="CX26" s="89"/>
      <c r="CY26" s="90"/>
      <c r="CZ26" s="91"/>
      <c r="DA26" s="92"/>
      <c r="DB26" s="88"/>
      <c r="DC26" s="89"/>
      <c r="DD26" s="89"/>
      <c r="DE26" s="90"/>
      <c r="DF26" s="91"/>
      <c r="DG26" s="92"/>
      <c r="DH26" s="88"/>
      <c r="DI26" s="89"/>
      <c r="DJ26" s="89"/>
      <c r="DK26" s="90"/>
      <c r="DL26" s="91"/>
      <c r="DM26" s="92"/>
      <c r="DN26" s="88"/>
      <c r="DO26" s="89"/>
      <c r="DP26" s="89"/>
      <c r="DQ26" s="90"/>
      <c r="DR26" s="91"/>
      <c r="DS26" s="92"/>
      <c r="DT26" s="88"/>
      <c r="DU26" s="89"/>
      <c r="DV26" s="89"/>
      <c r="DW26" s="90"/>
      <c r="DX26" s="91"/>
      <c r="DY26" s="92"/>
      <c r="DZ26" s="88"/>
      <c r="EA26" s="89"/>
      <c r="EB26" s="89"/>
      <c r="EC26" s="90"/>
      <c r="ED26" s="91"/>
      <c r="EE26" s="92"/>
      <c r="EF26" s="11"/>
      <c r="EG26" s="15"/>
      <c r="EH26" s="12"/>
      <c r="EI26" s="16"/>
    </row>
    <row r="27" spans="1:139" s="131" customFormat="1" ht="24" customHeight="1" thickBot="1" x14ac:dyDescent="0.3">
      <c r="A27" s="27"/>
      <c r="B27" s="219"/>
      <c r="C27" s="208"/>
      <c r="D27" s="195">
        <v>0</v>
      </c>
      <c r="E27" s="196"/>
      <c r="F27" s="196"/>
      <c r="G27" s="196"/>
      <c r="H27" s="196"/>
      <c r="I27" s="197"/>
      <c r="J27" s="195">
        <v>0</v>
      </c>
      <c r="K27" s="196"/>
      <c r="L27" s="196"/>
      <c r="M27" s="196"/>
      <c r="N27" s="196"/>
      <c r="O27" s="197"/>
      <c r="P27" s="195">
        <v>0</v>
      </c>
      <c r="Q27" s="196"/>
      <c r="R27" s="196"/>
      <c r="S27" s="196"/>
      <c r="T27" s="196"/>
      <c r="U27" s="197"/>
      <c r="V27" s="195">
        <v>0</v>
      </c>
      <c r="W27" s="196"/>
      <c r="X27" s="196"/>
      <c r="Y27" s="196"/>
      <c r="Z27" s="196"/>
      <c r="AA27" s="197"/>
      <c r="AB27" s="195">
        <v>0</v>
      </c>
      <c r="AC27" s="196"/>
      <c r="AD27" s="196"/>
      <c r="AE27" s="196"/>
      <c r="AF27" s="196"/>
      <c r="AG27" s="197"/>
      <c r="AH27" s="195">
        <v>0</v>
      </c>
      <c r="AI27" s="196"/>
      <c r="AJ27" s="196"/>
      <c r="AK27" s="196"/>
      <c r="AL27" s="196"/>
      <c r="AM27" s="197"/>
      <c r="AN27" s="195">
        <v>0</v>
      </c>
      <c r="AO27" s="196"/>
      <c r="AP27" s="196"/>
      <c r="AQ27" s="196"/>
      <c r="AR27" s="196"/>
      <c r="AS27" s="197"/>
      <c r="AT27" s="195">
        <v>0</v>
      </c>
      <c r="AU27" s="196"/>
      <c r="AV27" s="196"/>
      <c r="AW27" s="196"/>
      <c r="AX27" s="196"/>
      <c r="AY27" s="197"/>
      <c r="AZ27" s="195">
        <v>0</v>
      </c>
      <c r="BA27" s="196"/>
      <c r="BB27" s="196"/>
      <c r="BC27" s="196"/>
      <c r="BD27" s="196"/>
      <c r="BE27" s="197"/>
      <c r="BF27" s="195">
        <v>0</v>
      </c>
      <c r="BG27" s="196"/>
      <c r="BH27" s="196"/>
      <c r="BI27" s="196"/>
      <c r="BJ27" s="196"/>
      <c r="BK27" s="197"/>
      <c r="BL27" s="195">
        <v>0</v>
      </c>
      <c r="BM27" s="196"/>
      <c r="BN27" s="196"/>
      <c r="BO27" s="196"/>
      <c r="BP27" s="196"/>
      <c r="BQ27" s="197"/>
      <c r="BR27" s="195">
        <v>0</v>
      </c>
      <c r="BS27" s="196"/>
      <c r="BT27" s="196"/>
      <c r="BU27" s="196"/>
      <c r="BV27" s="196"/>
      <c r="BW27" s="197"/>
      <c r="BX27" s="195">
        <v>0</v>
      </c>
      <c r="BY27" s="196"/>
      <c r="BZ27" s="196"/>
      <c r="CA27" s="196"/>
      <c r="CB27" s="196"/>
      <c r="CC27" s="197"/>
      <c r="CD27" s="195">
        <v>0</v>
      </c>
      <c r="CE27" s="196"/>
      <c r="CF27" s="196"/>
      <c r="CG27" s="196"/>
      <c r="CH27" s="196"/>
      <c r="CI27" s="197"/>
      <c r="CJ27" s="195">
        <v>0</v>
      </c>
      <c r="CK27" s="196"/>
      <c r="CL27" s="196"/>
      <c r="CM27" s="196"/>
      <c r="CN27" s="196"/>
      <c r="CO27" s="197"/>
      <c r="CP27" s="195">
        <v>0</v>
      </c>
      <c r="CQ27" s="196"/>
      <c r="CR27" s="196"/>
      <c r="CS27" s="196"/>
      <c r="CT27" s="196"/>
      <c r="CU27" s="197"/>
      <c r="CV27" s="195">
        <v>0</v>
      </c>
      <c r="CW27" s="196"/>
      <c r="CX27" s="196"/>
      <c r="CY27" s="196"/>
      <c r="CZ27" s="196"/>
      <c r="DA27" s="197"/>
      <c r="DB27" s="195">
        <v>0</v>
      </c>
      <c r="DC27" s="196"/>
      <c r="DD27" s="196"/>
      <c r="DE27" s="196"/>
      <c r="DF27" s="196"/>
      <c r="DG27" s="197"/>
      <c r="DH27" s="195">
        <v>0</v>
      </c>
      <c r="DI27" s="196"/>
      <c r="DJ27" s="196"/>
      <c r="DK27" s="196"/>
      <c r="DL27" s="196"/>
      <c r="DM27" s="197"/>
      <c r="DN27" s="195">
        <v>0</v>
      </c>
      <c r="DO27" s="196"/>
      <c r="DP27" s="196"/>
      <c r="DQ27" s="196"/>
      <c r="DR27" s="196"/>
      <c r="DS27" s="197"/>
      <c r="DT27" s="195">
        <v>0</v>
      </c>
      <c r="DU27" s="196"/>
      <c r="DV27" s="196"/>
      <c r="DW27" s="196"/>
      <c r="DX27" s="196"/>
      <c r="DY27" s="197"/>
      <c r="DZ27" s="195">
        <v>0</v>
      </c>
      <c r="EA27" s="196"/>
      <c r="EB27" s="196"/>
      <c r="EC27" s="196"/>
      <c r="ED27" s="196"/>
      <c r="EE27" s="197"/>
      <c r="EF27" s="129"/>
      <c r="EG27" s="98"/>
      <c r="EH27" s="130"/>
      <c r="EI27" s="99"/>
    </row>
    <row r="28" spans="1:139" ht="24" customHeight="1" thickBot="1" x14ac:dyDescent="0.3">
      <c r="B28" s="220"/>
      <c r="C28" s="55" t="s">
        <v>128</v>
      </c>
      <c r="D28" s="45">
        <f>MAX(E19:F26)-IF(D19="",E19,D19)-MIN(H19:H25)+$C16</f>
        <v>0</v>
      </c>
      <c r="E28" s="93"/>
      <c r="F28" s="93"/>
      <c r="G28" s="94"/>
      <c r="H28" s="95" t="e">
        <f ca="1">OFFSET(H18,MATCH(MIN(H19:H25),H19:H25,0),-4)-IF(D19="",E19,D19)</f>
        <v>#N/A</v>
      </c>
      <c r="I28" s="96"/>
      <c r="J28" s="45">
        <f>MAX(K19:L26)-IF(J19="",K19,J19)-MIN(N19:N25)+$C16</f>
        <v>0</v>
      </c>
      <c r="K28" s="48"/>
      <c r="L28" s="48"/>
      <c r="M28" s="49"/>
      <c r="N28" s="95" t="e">
        <f ca="1">OFFSET(N18,MATCH(MIN(N19:N25),N19:N25,0),-4)-IF(J19="",K19,J19)</f>
        <v>#N/A</v>
      </c>
      <c r="O28" s="47"/>
      <c r="P28" s="45">
        <f>MAX(Q19:R26)-IF(P19="",Q19,P19)-MIN(T19:T25)+$C16</f>
        <v>0</v>
      </c>
      <c r="Q28" s="48"/>
      <c r="R28" s="48"/>
      <c r="S28" s="49"/>
      <c r="T28" s="95" t="e">
        <f ca="1">OFFSET(T18,MATCH(MIN(T19:T25),T19:T25,0),-4)-IF(P19="",Q19,P19)</f>
        <v>#N/A</v>
      </c>
      <c r="U28" s="47"/>
      <c r="V28" s="45">
        <f>MAX(W19:X26)-IF(V19="",W19,V19)-MIN(Z19:Z25)+$C16</f>
        <v>0</v>
      </c>
      <c r="W28" s="48"/>
      <c r="X28" s="48"/>
      <c r="Y28" s="49"/>
      <c r="Z28" s="95" t="e">
        <f ca="1">OFFSET(Z18,MATCH(MIN(Z19:Z25),Z19:Z25,0),-4)-IF(V19="",W19,V19)</f>
        <v>#N/A</v>
      </c>
      <c r="AA28" s="47"/>
      <c r="AB28" s="45">
        <f>MAX(AC19:AD26)-IF(AB19="",AC19,AB19)-MIN(AF19:AF25)+$C16</f>
        <v>0</v>
      </c>
      <c r="AC28" s="48"/>
      <c r="AD28" s="48"/>
      <c r="AE28" s="49"/>
      <c r="AF28" s="95" t="e">
        <f ca="1">OFFSET(AF18,MATCH(MIN(AF19:AF25),AF19:AF25,0),-4)-IF(AB19="",AC19,AB19)</f>
        <v>#N/A</v>
      </c>
      <c r="AG28" s="47"/>
      <c r="AH28" s="45">
        <f>MAX(AI19:AJ26)-IF(AH19="",AI19,AH19)-MIN(AL19:AL25)+$C16</f>
        <v>0</v>
      </c>
      <c r="AI28" s="48"/>
      <c r="AJ28" s="48"/>
      <c r="AK28" s="49"/>
      <c r="AL28" s="95" t="e">
        <f ca="1">OFFSET(AL18,MATCH(MIN(AL19:AL25),AL19:AL25,0),-4)-IF(AH19="",AI19,AH19)</f>
        <v>#N/A</v>
      </c>
      <c r="AM28" s="47"/>
      <c r="AN28" s="45">
        <f>MAX(AO19:AP26)-IF(AN19="",AO19,AN19)-MIN(AR19:AR25)+$C16</f>
        <v>0</v>
      </c>
      <c r="AO28" s="48"/>
      <c r="AP28" s="48"/>
      <c r="AQ28" s="49"/>
      <c r="AR28" s="95" t="e">
        <f ca="1">OFFSET(AR18,MATCH(MIN(AR19:AR25),AR19:AR25,0),-4)-IF(AN19="",AO19,AN19)</f>
        <v>#N/A</v>
      </c>
      <c r="AS28" s="47"/>
      <c r="AT28" s="45">
        <f>MAX(AU19:AV26)-IF(AT19="",AU19,AT19)-MIN(AX19:AX25)+$C16</f>
        <v>0</v>
      </c>
      <c r="AU28" s="48"/>
      <c r="AV28" s="48"/>
      <c r="AW28" s="49"/>
      <c r="AX28" s="95" t="e">
        <f ca="1">OFFSET(AX18,MATCH(MIN(AX19:AX25),AX19:AX25,0),-4)-IF(AT19="",AU19,AT19)</f>
        <v>#N/A</v>
      </c>
      <c r="AY28" s="47"/>
      <c r="AZ28" s="45">
        <f>MAX(BA19:BB26)-IF(AZ19="",BA19,AZ19)-MIN(BD19:BD25)+$C16</f>
        <v>0</v>
      </c>
      <c r="BA28" s="48"/>
      <c r="BB28" s="48"/>
      <c r="BC28" s="49"/>
      <c r="BD28" s="95" t="e">
        <f ca="1">OFFSET(BD18,MATCH(MIN(BD19:BD25),BD19:BD25,0),-4)-IF(AZ19="",BA19,AZ19)</f>
        <v>#N/A</v>
      </c>
      <c r="BE28" s="47"/>
      <c r="BF28" s="45">
        <f>MAX(BG19:BH26)-IF(BF19="",BG19,BF19)-MIN(BJ19:BJ25)+$C16</f>
        <v>0</v>
      </c>
      <c r="BG28" s="48"/>
      <c r="BH28" s="48"/>
      <c r="BI28" s="49"/>
      <c r="BJ28" s="95" t="e">
        <f ca="1">OFFSET(BJ18,MATCH(MIN(BJ19:BJ25),BJ19:BJ25,0),-4)-IF(BF19="",BG19,BF19)</f>
        <v>#N/A</v>
      </c>
      <c r="BK28" s="47"/>
      <c r="BL28" s="45">
        <f>MAX(BM19:BN26)-IF(BL19="",BM19,BL19)-MIN(BP19:BP25)+$C16</f>
        <v>0</v>
      </c>
      <c r="BM28" s="48"/>
      <c r="BN28" s="48"/>
      <c r="BO28" s="49"/>
      <c r="BP28" s="95" t="e">
        <f ca="1">OFFSET(BP18,MATCH(MIN(BP19:BP25),BP19:BP25,0),-4)-IF(BL19="",BM19,BL19)</f>
        <v>#N/A</v>
      </c>
      <c r="BQ28" s="47"/>
      <c r="BR28" s="45">
        <f>MAX(BS19:BT26)-IF(BR19="",BS19,BR19)-MIN(BV19:BV25)+$C16</f>
        <v>0</v>
      </c>
      <c r="BS28" s="48"/>
      <c r="BT28" s="48"/>
      <c r="BU28" s="49"/>
      <c r="BV28" s="95" t="e">
        <f ca="1">OFFSET(BV18,MATCH(MIN(BV19:BV25),BV19:BV25,0),-4)-IF(BR19="",BS19,BR19)</f>
        <v>#N/A</v>
      </c>
      <c r="BW28" s="47"/>
      <c r="BX28" s="45">
        <f>MAX(BY19:BZ26)-IF(BX19="",BY19,BX19)-MIN(CB19:CB25)+$C16</f>
        <v>0</v>
      </c>
      <c r="BY28" s="48"/>
      <c r="BZ28" s="48"/>
      <c r="CA28" s="49"/>
      <c r="CB28" s="95" t="e">
        <f ca="1">OFFSET(CB18,MATCH(MIN(CB19:CB25),CB19:CB25,0),-4)-IF(BX19="",BY19,BX19)</f>
        <v>#N/A</v>
      </c>
      <c r="CC28" s="47"/>
      <c r="CD28" s="45">
        <f>MAX(CE19:CF26)-IF(CD19="",CE19,CD19)-MIN(CH19:CH25)+$C16</f>
        <v>0</v>
      </c>
      <c r="CE28" s="48"/>
      <c r="CF28" s="48"/>
      <c r="CG28" s="49"/>
      <c r="CH28" s="95" t="e">
        <f ca="1">OFFSET(CH18,MATCH(MIN(CH19:CH25),CH19:CH25,0),-4)-IF(CD19="",CE19,CD19)</f>
        <v>#N/A</v>
      </c>
      <c r="CI28" s="47"/>
      <c r="CJ28" s="45">
        <f>MAX(CK19:CL26)-IF(CJ19="",CK19,CJ19)-MIN(CN19:CN25)+$C16</f>
        <v>0</v>
      </c>
      <c r="CK28" s="48"/>
      <c r="CL28" s="48"/>
      <c r="CM28" s="49"/>
      <c r="CN28" s="95" t="e">
        <f ca="1">OFFSET(CN18,MATCH(MIN(CN19:CN25),CN19:CN25,0),-4)-IF(CJ19="",CK19,CJ19)</f>
        <v>#N/A</v>
      </c>
      <c r="CO28" s="47"/>
      <c r="CP28" s="45">
        <f>MAX(CQ19:CR26)-IF(CP19="",CQ19,CP19)-MIN(CT19:CT25)+$C16</f>
        <v>0</v>
      </c>
      <c r="CQ28" s="48"/>
      <c r="CR28" s="48"/>
      <c r="CS28" s="49"/>
      <c r="CT28" s="95" t="e">
        <f ca="1">OFFSET(CT18,MATCH(MIN(CT19:CT25),CT19:CT25,0),-4)-IF(CP19="",CQ19,CP19)</f>
        <v>#N/A</v>
      </c>
      <c r="CU28" s="47"/>
      <c r="CV28" s="45">
        <f>MAX(CW19:CX26)-IF(CV19="",CW19,CV19)-MIN(CZ19:CZ25)+$C16</f>
        <v>0</v>
      </c>
      <c r="CW28" s="48"/>
      <c r="CX28" s="48"/>
      <c r="CY28" s="49"/>
      <c r="CZ28" s="95" t="e">
        <f ca="1">OFFSET(CZ18,MATCH(MIN(CZ19:CZ25),CZ19:CZ25,0),-4)-IF(CV19="",CW19,CV19)</f>
        <v>#N/A</v>
      </c>
      <c r="DA28" s="47"/>
      <c r="DB28" s="45">
        <f>MAX(DC19:DD26)-IF(DB19="",DC19,DB19)-MIN(DF19:DF25)+$C16</f>
        <v>0</v>
      </c>
      <c r="DC28" s="48"/>
      <c r="DD28" s="48"/>
      <c r="DE28" s="49"/>
      <c r="DF28" s="95" t="e">
        <f ca="1">OFFSET(DF18,MATCH(MIN(DF19:DF25),DF19:DF25,0),-4)-IF(DB19="",DC19,DB19)</f>
        <v>#N/A</v>
      </c>
      <c r="DG28" s="47"/>
      <c r="DH28" s="45">
        <f>MAX(DI19:DJ26)-IF(DH19="",DI19,DH19)-MIN(DL19:DL25)+$C16</f>
        <v>0</v>
      </c>
      <c r="DI28" s="48"/>
      <c r="DJ28" s="48"/>
      <c r="DK28" s="49"/>
      <c r="DL28" s="95" t="e">
        <f ca="1">OFFSET(DL18,MATCH(MIN(DL19:DL25),DL19:DL25,0),-4)-IF(DH19="",DI19,DH19)</f>
        <v>#N/A</v>
      </c>
      <c r="DM28" s="47"/>
      <c r="DN28" s="45">
        <f>MAX(DO19:DP26)-IF(DN19="",DO19,DN19)-MIN(DR19:DR25)+$C16</f>
        <v>0</v>
      </c>
      <c r="DO28" s="48"/>
      <c r="DP28" s="48"/>
      <c r="DQ28" s="49"/>
      <c r="DR28" s="95" t="e">
        <f ca="1">OFFSET(DR18,MATCH(MIN(DR19:DR25),DR19:DR25,0),-4)-IF(DN19="",DO19,DN19)</f>
        <v>#N/A</v>
      </c>
      <c r="DS28" s="47"/>
      <c r="DT28" s="45">
        <f>MAX(DU19:DV26)-IF(DT19="",DU19,DT19)-MIN(DX19:DX25)+$C16</f>
        <v>0</v>
      </c>
      <c r="DU28" s="48"/>
      <c r="DV28" s="48"/>
      <c r="DW28" s="49"/>
      <c r="DX28" s="95" t="e">
        <f ca="1">OFFSET(DX18,MATCH(MIN(DX19:DX25),DX19:DX25,0),-4)-IF(DT19="",DU19,DT19)</f>
        <v>#N/A</v>
      </c>
      <c r="DY28" s="47"/>
      <c r="DZ28" s="45">
        <f>MAX(EA19:EB26)-IF(DZ19="",EA19,DZ19)-MIN(ED19:ED25)+$C16</f>
        <v>0</v>
      </c>
      <c r="EA28" s="48"/>
      <c r="EB28" s="48"/>
      <c r="EC28" s="49"/>
      <c r="ED28" s="95" t="e">
        <f ca="1">OFFSET(ED18,MATCH(MIN(ED19:ED25),ED19:ED25,0),-4)-IF(DZ19="",EA19,DZ19)</f>
        <v>#N/A</v>
      </c>
      <c r="EE28" s="47"/>
      <c r="EF28" s="11"/>
      <c r="EG28" s="51"/>
      <c r="EH28" s="50"/>
      <c r="EI28" s="52"/>
    </row>
    <row r="29" spans="1:139" customFormat="1" ht="24" customHeight="1" x14ac:dyDescent="0.25"/>
    <row r="30" spans="1:139" ht="24" customHeight="1" thickBot="1" x14ac:dyDescent="0.3"/>
    <row r="31" spans="1:139" ht="24" customHeight="1" thickBot="1" x14ac:dyDescent="0.3">
      <c r="D31" s="53">
        <f>IF(F30="",E30,F30)</f>
        <v>0</v>
      </c>
      <c r="E31" s="54"/>
      <c r="F31" s="53">
        <f>IF(D32="",E32,D32)</f>
        <v>0</v>
      </c>
      <c r="G31" s="54"/>
      <c r="H31" s="54">
        <f>F31-D31</f>
        <v>0</v>
      </c>
      <c r="I31" s="54"/>
      <c r="L31"/>
      <c r="M31"/>
      <c r="N31"/>
      <c r="O31"/>
    </row>
    <row r="32" spans="1:139" ht="24" customHeight="1" thickBot="1" x14ac:dyDescent="0.3">
      <c r="L32"/>
      <c r="M32"/>
      <c r="N32" s="59"/>
      <c r="U32" s="56"/>
      <c r="AI32"/>
      <c r="AJ32"/>
      <c r="AK32"/>
      <c r="AL32"/>
      <c r="AM32"/>
      <c r="AN32"/>
    </row>
    <row r="33" spans="4:22" ht="24" customHeight="1" thickBot="1" x14ac:dyDescent="0.3">
      <c r="D33" s="18"/>
      <c r="E33" s="37" t="s">
        <v>125</v>
      </c>
      <c r="F33" s="38"/>
      <c r="G33" s="38"/>
      <c r="H33" s="38"/>
      <c r="I33" s="38"/>
      <c r="J33" s="39"/>
      <c r="L33"/>
      <c r="M33"/>
      <c r="N33" s="59"/>
    </row>
    <row r="34" spans="4:22" ht="24" customHeight="1" thickBot="1" x14ac:dyDescent="0.3">
      <c r="D34" s="18"/>
      <c r="E34" s="37" t="s">
        <v>125</v>
      </c>
      <c r="F34" s="38"/>
      <c r="G34" s="38"/>
      <c r="H34" s="38"/>
      <c r="I34" s="38"/>
      <c r="J34" s="39"/>
      <c r="L34"/>
      <c r="M34"/>
      <c r="N34" s="59"/>
    </row>
    <row r="35" spans="4:22" ht="24" customHeight="1" thickBot="1" x14ac:dyDescent="0.3">
      <c r="D35" s="18"/>
      <c r="E35" s="37" t="s">
        <v>125</v>
      </c>
      <c r="F35" s="38"/>
      <c r="G35" s="38"/>
      <c r="H35" s="38"/>
      <c r="I35" s="38"/>
      <c r="J35" s="39"/>
      <c r="L35"/>
      <c r="M35"/>
      <c r="N35" s="59"/>
    </row>
    <row r="36" spans="4:22" ht="24" customHeight="1" x14ac:dyDescent="0.25">
      <c r="E36" s="36"/>
      <c r="F36" s="36"/>
      <c r="G36" s="36"/>
      <c r="H36" s="36"/>
      <c r="I36" s="36"/>
      <c r="J36" s="36"/>
      <c r="L36"/>
      <c r="M36"/>
      <c r="N36" s="59"/>
    </row>
    <row r="37" spans="4:22" ht="24" customHeight="1" x14ac:dyDescent="0.25">
      <c r="L37"/>
      <c r="M37"/>
      <c r="N37" s="59"/>
      <c r="V37" s="56"/>
    </row>
    <row r="38" spans="4:22" ht="24" customHeight="1" x14ac:dyDescent="0.25">
      <c r="L38"/>
      <c r="M38"/>
      <c r="N38" s="59"/>
    </row>
    <row r="39" spans="4:22" ht="24" customHeight="1" x14ac:dyDescent="0.25">
      <c r="L39"/>
      <c r="M39"/>
      <c r="N39" s="59"/>
    </row>
    <row r="40" spans="4:22" ht="24" customHeight="1" x14ac:dyDescent="0.25">
      <c r="L40"/>
      <c r="M40"/>
      <c r="N40" s="59"/>
    </row>
    <row r="41" spans="4:22" ht="24" customHeight="1" x14ac:dyDescent="0.25">
      <c r="L41"/>
      <c r="M41"/>
      <c r="N41" s="59"/>
    </row>
    <row r="42" spans="4:22" ht="24" customHeight="1" x14ac:dyDescent="0.25">
      <c r="L42"/>
      <c r="M42"/>
      <c r="N42" s="59"/>
    </row>
    <row r="43" spans="4:22" ht="24" customHeight="1" x14ac:dyDescent="0.25">
      <c r="L43"/>
      <c r="M43"/>
      <c r="N43" s="59"/>
    </row>
    <row r="44" spans="4:22" ht="24" customHeight="1" x14ac:dyDescent="0.25">
      <c r="L44"/>
      <c r="M44"/>
      <c r="N44" s="59"/>
    </row>
    <row r="45" spans="4:22" ht="24" customHeight="1" x14ac:dyDescent="0.25">
      <c r="L45"/>
      <c r="M45"/>
      <c r="N45" s="59"/>
    </row>
    <row r="46" spans="4:22" ht="24" customHeight="1" x14ac:dyDescent="0.25">
      <c r="L46"/>
      <c r="M46"/>
      <c r="N46" s="59"/>
    </row>
    <row r="47" spans="4:22" ht="24" customHeight="1" x14ac:dyDescent="0.25">
      <c r="L47"/>
      <c r="M47"/>
      <c r="N47" s="59"/>
    </row>
    <row r="48" spans="4:22" ht="24" customHeight="1" x14ac:dyDescent="0.25">
      <c r="L48"/>
      <c r="M48"/>
      <c r="N48" s="59"/>
    </row>
    <row r="49" spans="12:15" ht="24" customHeight="1" x14ac:dyDescent="0.25">
      <c r="L49"/>
      <c r="M49"/>
      <c r="N49" s="59"/>
    </row>
    <row r="50" spans="12:15" ht="24" customHeight="1" x14ac:dyDescent="0.25">
      <c r="L50"/>
      <c r="M50"/>
      <c r="N50" s="59"/>
    </row>
    <row r="51" spans="12:15" ht="24" customHeight="1" x14ac:dyDescent="0.25">
      <c r="L51"/>
      <c r="M51"/>
      <c r="N51" s="59"/>
    </row>
    <row r="52" spans="12:15" ht="24" customHeight="1" x14ac:dyDescent="0.25">
      <c r="L52"/>
      <c r="M52"/>
      <c r="N52" s="59"/>
    </row>
    <row r="53" spans="12:15" ht="24" customHeight="1" x14ac:dyDescent="0.25">
      <c r="L53"/>
      <c r="M53"/>
      <c r="N53" s="59"/>
    </row>
    <row r="54" spans="12:15" ht="24" customHeight="1" x14ac:dyDescent="0.25">
      <c r="L54"/>
      <c r="M54"/>
      <c r="N54"/>
      <c r="O54"/>
    </row>
    <row r="55" spans="12:15" ht="24" customHeight="1" x14ac:dyDescent="0.25">
      <c r="L55"/>
      <c r="M55"/>
      <c r="N55"/>
      <c r="O55"/>
    </row>
  </sheetData>
  <sortState xmlns:xlrd2="http://schemas.microsoft.com/office/spreadsheetml/2017/richdata2" ref="J8:O13">
    <sortCondition ref="J7:J13"/>
  </sortState>
  <mergeCells count="47">
    <mergeCell ref="DB27:DG27"/>
    <mergeCell ref="DH27:DM27"/>
    <mergeCell ref="DN27:DS27"/>
    <mergeCell ref="DT27:DY27"/>
    <mergeCell ref="DZ27:EE27"/>
    <mergeCell ref="BX27:CC27"/>
    <mergeCell ref="CD27:CI27"/>
    <mergeCell ref="CJ27:CO27"/>
    <mergeCell ref="CP27:CU27"/>
    <mergeCell ref="CV27:DA27"/>
    <mergeCell ref="AT27:AY27"/>
    <mergeCell ref="AZ27:BE27"/>
    <mergeCell ref="BF27:BK27"/>
    <mergeCell ref="BL27:BQ27"/>
    <mergeCell ref="BR27:BW27"/>
    <mergeCell ref="P27:U27"/>
    <mergeCell ref="V27:AA27"/>
    <mergeCell ref="AB27:AG27"/>
    <mergeCell ref="AH27:AM27"/>
    <mergeCell ref="AN27:AS27"/>
    <mergeCell ref="DB14:DG14"/>
    <mergeCell ref="DH14:DM14"/>
    <mergeCell ref="DN14:DS14"/>
    <mergeCell ref="DT14:DY14"/>
    <mergeCell ref="DZ14:EE14"/>
    <mergeCell ref="BX14:CC14"/>
    <mergeCell ref="CD14:CI14"/>
    <mergeCell ref="CJ14:CO14"/>
    <mergeCell ref="CP14:CU14"/>
    <mergeCell ref="CV14:DA14"/>
    <mergeCell ref="AT14:AY14"/>
    <mergeCell ref="AZ14:BE14"/>
    <mergeCell ref="BF14:BK14"/>
    <mergeCell ref="BL14:BQ14"/>
    <mergeCell ref="BR14:BW14"/>
    <mergeCell ref="P14:U14"/>
    <mergeCell ref="V14:AA14"/>
    <mergeCell ref="AB14:AG14"/>
    <mergeCell ref="AH14:AM14"/>
    <mergeCell ref="AN14:AS14"/>
    <mergeCell ref="B2:B28"/>
    <mergeCell ref="C5:C14"/>
    <mergeCell ref="C18:C27"/>
    <mergeCell ref="J14:O14"/>
    <mergeCell ref="D14:I14"/>
    <mergeCell ref="D27:I27"/>
    <mergeCell ref="J27:O27"/>
  </mergeCells>
  <conditionalFormatting sqref="D14">
    <cfRule type="containsText" dxfId="55" priority="105" operator="containsText" text="VEGA">
      <formula>NOT(ISERROR(SEARCH("VEGA",D14)))</formula>
    </cfRule>
    <cfRule type="containsText" dxfId="54" priority="106" operator="containsText" text="LÍDER">
      <formula>NOT(ISERROR(SEARCH("LÍDER",D14)))</formula>
    </cfRule>
    <cfRule type="containsText" dxfId="53" priority="107" operator="containsText" text="GLOBAL">
      <formula>NOT(ISERROR(SEARCH("GLOBAL",D14)))</formula>
    </cfRule>
    <cfRule type="containsText" dxfId="52" priority="108" operator="containsText" text="COROADO">
      <formula>NOT(ISERROR(SEARCH("COROADO",D14)))</formula>
    </cfRule>
    <cfRule type="containsText" dxfId="51" priority="109" operator="containsText" text="VIA VERDE">
      <formula>NOT(ISERROR(SEARCH("VIA VERDE",D14)))</formula>
    </cfRule>
    <cfRule type="containsText" dxfId="50" priority="110" operator="containsText" text="INTEGRAÇÃO">
      <formula>NOT(ISERROR(SEARCH("INTEGRAÇÃO",D14)))</formula>
    </cfRule>
    <cfRule type="containsText" dxfId="49" priority="111" operator="containsText" text="SÃO PEDRO">
      <formula>NOT(ISERROR(SEARCH("SÃO PEDRO",D14)))</formula>
    </cfRule>
  </conditionalFormatting>
  <conditionalFormatting sqref="J14 P14 V14 AB14 AH14 AN14 AT14 AZ14 BF14 BL14 BR14 BX14 CD14 CJ14 CP14 CV14 DB14 DH14 DN14 DT14 DZ14">
    <cfRule type="containsText" dxfId="48" priority="33" operator="containsText" text="VEGA">
      <formula>NOT(ISERROR(SEARCH("VEGA",J14)))</formula>
    </cfRule>
    <cfRule type="containsText" dxfId="47" priority="34" operator="containsText" text="LÍDER">
      <formula>NOT(ISERROR(SEARCH("LÍDER",J14)))</formula>
    </cfRule>
    <cfRule type="containsText" dxfId="46" priority="35" operator="containsText" text="GLOBAL">
      <formula>NOT(ISERROR(SEARCH("GLOBAL",J14)))</formula>
    </cfRule>
    <cfRule type="containsText" dxfId="45" priority="36" operator="containsText" text="COROADO">
      <formula>NOT(ISERROR(SEARCH("COROADO",J14)))</formula>
    </cfRule>
    <cfRule type="containsText" dxfId="44" priority="37" operator="containsText" text="VIA VERDE">
      <formula>NOT(ISERROR(SEARCH("VIA VERDE",J14)))</formula>
    </cfRule>
    <cfRule type="containsText" dxfId="43" priority="38" operator="containsText" text="INTEGRAÇÃO">
      <formula>NOT(ISERROR(SEARCH("INTEGRAÇÃO",J14)))</formula>
    </cfRule>
    <cfRule type="containsText" dxfId="42" priority="39" operator="containsText" text="SÃO PEDRO">
      <formula>NOT(ISERROR(SEARCH("SÃO PEDRO",J14)))</formula>
    </cfRule>
  </conditionalFormatting>
  <conditionalFormatting sqref="D27 J27 P27 V27 AB27 AH27 AN27 AT27 AZ27 BF27 BL27 BR27 BX27 CD27 CJ27 CP27 CV27 DB27 DH27 DN27 DT27 DZ27">
    <cfRule type="containsText" dxfId="41" priority="26" operator="containsText" text="VEGA">
      <formula>NOT(ISERROR(SEARCH("VEGA",D27)))</formula>
    </cfRule>
    <cfRule type="containsText" dxfId="40" priority="27" operator="containsText" text="LÍDER">
      <formula>NOT(ISERROR(SEARCH("LÍDER",D27)))</formula>
    </cfRule>
    <cfRule type="containsText" dxfId="39" priority="28" operator="containsText" text="GLOBAL">
      <formula>NOT(ISERROR(SEARCH("GLOBAL",D27)))</formula>
    </cfRule>
    <cfRule type="containsText" dxfId="38" priority="29" operator="containsText" text="COROADO">
      <formula>NOT(ISERROR(SEARCH("COROADO",D27)))</formula>
    </cfRule>
    <cfRule type="containsText" dxfId="37" priority="30" operator="containsText" text="VIA VERDE">
      <formula>NOT(ISERROR(SEARCH("VIA VERDE",D27)))</formula>
    </cfRule>
    <cfRule type="containsText" dxfId="36" priority="31" operator="containsText" text="INTEGRAÇÃO">
      <formula>NOT(ISERROR(SEARCH("INTEGRAÇÃO",D27)))</formula>
    </cfRule>
    <cfRule type="containsText" dxfId="35" priority="32" operator="containsText" text="SÃO PEDRO">
      <formula>NOT(ISERROR(SEARCH("SÃO PEDRO",D27)))</formula>
    </cfRule>
  </conditionalFormatting>
  <conditionalFormatting sqref="D4">
    <cfRule type="colorScale" priority="25">
      <colorScale>
        <cfvo type="min"/>
        <cfvo type="max"/>
        <color rgb="FFFF7128"/>
        <color rgb="FFFFEF9C"/>
      </colorScale>
    </cfRule>
  </conditionalFormatting>
  <conditionalFormatting sqref="E4">
    <cfRule type="notContainsBlanks" dxfId="34" priority="24">
      <formula>LEN(TRIM(E4))&gt;0</formula>
    </cfRule>
  </conditionalFormatting>
  <conditionalFormatting sqref="F4:I4">
    <cfRule type="notContainsBlanks" dxfId="33" priority="23">
      <formula>LEN(TRIM(F4))&gt;0</formula>
    </cfRule>
  </conditionalFormatting>
  <conditionalFormatting sqref="D4:I4">
    <cfRule type="expression" dxfId="32" priority="22" stopIfTrue="1">
      <formula>LEN($D4)=14</formula>
    </cfRule>
  </conditionalFormatting>
  <conditionalFormatting sqref="J4:O4">
    <cfRule type="expression" dxfId="31" priority="21">
      <formula>LEN($J4)=14</formula>
    </cfRule>
  </conditionalFormatting>
  <conditionalFormatting sqref="P4:U4">
    <cfRule type="expression" dxfId="30" priority="20">
      <formula>LEN($P4)=14</formula>
    </cfRule>
  </conditionalFormatting>
  <conditionalFormatting sqref="V4:AA4">
    <cfRule type="expression" dxfId="29" priority="19">
      <formula>LEN($V4)=14</formula>
    </cfRule>
  </conditionalFormatting>
  <conditionalFormatting sqref="AB4:AG4">
    <cfRule type="expression" dxfId="28" priority="18">
      <formula>LEN($AB4)=14</formula>
    </cfRule>
  </conditionalFormatting>
  <conditionalFormatting sqref="AH4:AM4">
    <cfRule type="expression" dxfId="27" priority="17">
      <formula>LEN($AH4)=14</formula>
    </cfRule>
  </conditionalFormatting>
  <conditionalFormatting sqref="AN4:AS4">
    <cfRule type="expression" dxfId="26" priority="16">
      <formula>LEN($AN4)=14</formula>
    </cfRule>
  </conditionalFormatting>
  <conditionalFormatting sqref="AT4:AY4">
    <cfRule type="expression" dxfId="25" priority="15">
      <formula>LEN($AT4)=14</formula>
    </cfRule>
  </conditionalFormatting>
  <conditionalFormatting sqref="AZ4:BE4">
    <cfRule type="expression" dxfId="24" priority="14">
      <formula>LEN($AZ4)=14</formula>
    </cfRule>
  </conditionalFormatting>
  <conditionalFormatting sqref="BF4:BK4">
    <cfRule type="expression" dxfId="23" priority="13">
      <formula>LEN($BF4)=15</formula>
    </cfRule>
  </conditionalFormatting>
  <conditionalFormatting sqref="BL4:BQ4">
    <cfRule type="expression" dxfId="22" priority="12">
      <formula>LEN($BL4)=15</formula>
    </cfRule>
  </conditionalFormatting>
  <conditionalFormatting sqref="BR4:BW4">
    <cfRule type="expression" dxfId="21" priority="11">
      <formula>LEN($BR4)=15</formula>
    </cfRule>
  </conditionalFormatting>
  <conditionalFormatting sqref="BX4:CC4">
    <cfRule type="expression" dxfId="20" priority="10">
      <formula>LEN($BX4)=15</formula>
    </cfRule>
  </conditionalFormatting>
  <conditionalFormatting sqref="CD4:CI4">
    <cfRule type="expression" dxfId="19" priority="9">
      <formula>LEN($CD4)=15</formula>
    </cfRule>
  </conditionalFormatting>
  <conditionalFormatting sqref="CJ4:CO4">
    <cfRule type="expression" dxfId="18" priority="8">
      <formula>LEN($CJ4)=15</formula>
    </cfRule>
  </conditionalFormatting>
  <conditionalFormatting sqref="CP4:CU4">
    <cfRule type="expression" dxfId="17" priority="7">
      <formula>LEN($CP4)=15</formula>
    </cfRule>
  </conditionalFormatting>
  <conditionalFormatting sqref="CV4:DA4">
    <cfRule type="expression" dxfId="16" priority="6">
      <formula>LEN($CV4)=15</formula>
    </cfRule>
  </conditionalFormatting>
  <conditionalFormatting sqref="DB4:DG4">
    <cfRule type="expression" dxfId="15" priority="5">
      <formula>LEN($DB4)=15</formula>
    </cfRule>
  </conditionalFormatting>
  <conditionalFormatting sqref="DH4:DM4">
    <cfRule type="expression" dxfId="14" priority="4">
      <formula>LEN($DH4)=15</formula>
    </cfRule>
  </conditionalFormatting>
  <conditionalFormatting sqref="DN4:DS4">
    <cfRule type="expression" dxfId="13" priority="3">
      <formula>LEN($DN4)=15</formula>
    </cfRule>
  </conditionalFormatting>
  <conditionalFormatting sqref="DT4:DY4">
    <cfRule type="expression" dxfId="12" priority="2">
      <formula>LEN($DT4)=15</formula>
    </cfRule>
  </conditionalFormatting>
  <conditionalFormatting sqref="DZ4:EE4">
    <cfRule type="expression" dxfId="11" priority="1">
      <formula>LEN($DZ4)=15</formula>
    </cfRule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EEA6-DB4C-4585-B98C-A740A661D785}">
  <dimension ref="A1:M69"/>
  <sheetViews>
    <sheetView topLeftCell="A37" zoomScale="70" zoomScaleNormal="70" workbookViewId="0">
      <selection activeCell="F70" sqref="F70"/>
    </sheetView>
  </sheetViews>
  <sheetFormatPr defaultColWidth="8.85546875" defaultRowHeight="24" customHeight="1" x14ac:dyDescent="0.25"/>
  <sheetData>
    <row r="1" spans="1:13" ht="24" customHeight="1" thickBot="1" x14ac:dyDescent="0.3">
      <c r="A1" s="148"/>
    </row>
    <row r="2" spans="1:13" ht="24" customHeight="1" x14ac:dyDescent="0.25">
      <c r="B2" s="155">
        <v>0.1875</v>
      </c>
      <c r="C2" s="156">
        <v>0.20416666666666666</v>
      </c>
      <c r="D2" s="156">
        <v>0.22222222222222221</v>
      </c>
      <c r="E2" s="157">
        <f>D2-B2</f>
        <v>3.472222222222221E-2</v>
      </c>
      <c r="F2" s="158">
        <v>93</v>
      </c>
      <c r="G2" s="159">
        <v>1</v>
      </c>
      <c r="H2" s="155">
        <v>0.20833333333333334</v>
      </c>
      <c r="I2" s="156">
        <v>0.22569444444444445</v>
      </c>
      <c r="J2" s="156">
        <v>0.24374999999999999</v>
      </c>
      <c r="K2" s="157">
        <f t="shared" ref="K2:K5" si="0">J2-H2</f>
        <v>3.5416666666666652E-2</v>
      </c>
      <c r="L2" s="158">
        <v>93</v>
      </c>
      <c r="M2" s="159">
        <v>2</v>
      </c>
    </row>
    <row r="3" spans="1:13" ht="24" customHeight="1" x14ac:dyDescent="0.25">
      <c r="B3" s="160">
        <v>0.22916666666666666</v>
      </c>
      <c r="C3" s="150">
        <v>0.24652777777777779</v>
      </c>
      <c r="D3" s="150">
        <v>0.26458333333333334</v>
      </c>
      <c r="E3" s="151">
        <f t="shared" ref="E3:E5" si="1">D3-B3</f>
        <v>3.541666666666668E-2</v>
      </c>
      <c r="F3" s="152">
        <v>93</v>
      </c>
      <c r="G3" s="161">
        <v>1</v>
      </c>
      <c r="H3" s="160">
        <v>0.25069444444444444</v>
      </c>
      <c r="I3" s="150">
        <v>0.26874999999999999</v>
      </c>
      <c r="J3" s="150">
        <v>0.28819444444444442</v>
      </c>
      <c r="K3" s="151">
        <f t="shared" si="0"/>
        <v>3.7499999999999978E-2</v>
      </c>
      <c r="L3" s="152">
        <v>93</v>
      </c>
      <c r="M3" s="161">
        <v>2</v>
      </c>
    </row>
    <row r="4" spans="1:13" ht="24" customHeight="1" x14ac:dyDescent="0.25">
      <c r="B4" s="160">
        <v>0.27083333333333331</v>
      </c>
      <c r="C4" s="150">
        <v>0.29305555555555557</v>
      </c>
      <c r="D4" s="150">
        <v>0.3125</v>
      </c>
      <c r="E4" s="151">
        <f t="shared" si="1"/>
        <v>4.1666666666666685E-2</v>
      </c>
      <c r="F4" s="153">
        <v>94</v>
      </c>
      <c r="G4" s="161">
        <v>1</v>
      </c>
      <c r="H4" s="160">
        <v>0.2986111111111111</v>
      </c>
      <c r="I4" s="150">
        <v>0.31597222222222221</v>
      </c>
      <c r="J4" s="150">
        <v>0.3347222222222222</v>
      </c>
      <c r="K4" s="151">
        <f t="shared" si="0"/>
        <v>3.6111111111111094E-2</v>
      </c>
      <c r="L4" s="152">
        <v>93</v>
      </c>
      <c r="M4" s="161">
        <v>2</v>
      </c>
    </row>
    <row r="5" spans="1:13" ht="24" customHeight="1" thickBot="1" x14ac:dyDescent="0.3">
      <c r="B5" s="160">
        <v>0.32500000000000001</v>
      </c>
      <c r="C5" s="150">
        <v>0.34236111111111112</v>
      </c>
      <c r="D5" s="150">
        <v>0.36180555555555555</v>
      </c>
      <c r="E5" s="151">
        <f t="shared" si="1"/>
        <v>3.6805555555555536E-2</v>
      </c>
      <c r="F5" s="152">
        <v>93</v>
      </c>
      <c r="G5" s="161">
        <v>1</v>
      </c>
      <c r="H5" s="160">
        <v>0.35138888888888886</v>
      </c>
      <c r="I5" s="150">
        <v>0.36875000000000002</v>
      </c>
      <c r="J5" s="150">
        <v>0.38819444444444445</v>
      </c>
      <c r="K5" s="151">
        <f t="shared" si="0"/>
        <v>3.6805555555555591E-2</v>
      </c>
      <c r="L5" s="152">
        <v>93</v>
      </c>
      <c r="M5" s="161">
        <v>2</v>
      </c>
    </row>
    <row r="6" spans="1:13" ht="24" customHeight="1" thickBot="1" x14ac:dyDescent="0.3">
      <c r="A6" s="149"/>
      <c r="B6" s="53">
        <f>IF(D5="",C5,D5)</f>
        <v>0.36180555555555555</v>
      </c>
      <c r="C6" s="54"/>
      <c r="D6" s="53">
        <f>IF(B7="",C7,B7)</f>
        <v>0.41041666666666665</v>
      </c>
      <c r="E6" s="54"/>
      <c r="F6" s="54">
        <f>D6-B6</f>
        <v>4.8611111111111105E-2</v>
      </c>
      <c r="G6" s="54"/>
      <c r="H6" s="53">
        <f>IF(J5="",I5,J5)</f>
        <v>0.38819444444444445</v>
      </c>
      <c r="I6" s="54"/>
      <c r="J6" s="53">
        <f>IF(H7="",I7,H7)</f>
        <v>0.43680555555555556</v>
      </c>
      <c r="K6" s="54"/>
      <c r="L6" s="54">
        <f>J6-H6</f>
        <v>4.8611111111111105E-2</v>
      </c>
      <c r="M6" s="54"/>
    </row>
    <row r="7" spans="1:13" ht="24" customHeight="1" x14ac:dyDescent="0.25">
      <c r="B7" s="160">
        <v>0.41041666666666665</v>
      </c>
      <c r="C7" s="150">
        <v>0.43194444444444446</v>
      </c>
      <c r="D7" s="150">
        <v>0.45277777777777778</v>
      </c>
      <c r="E7" s="151">
        <f t="shared" ref="E7:E9" si="2">D7-B7</f>
        <v>4.2361111111111127E-2</v>
      </c>
      <c r="F7" s="152">
        <v>93</v>
      </c>
      <c r="G7" s="161">
        <v>1</v>
      </c>
      <c r="H7" s="160">
        <v>0.43680555555555556</v>
      </c>
      <c r="I7" s="150">
        <v>0.46527777777777779</v>
      </c>
      <c r="J7" s="150">
        <v>0.48541666666666666</v>
      </c>
      <c r="K7" s="151">
        <f t="shared" ref="K7:K8" si="3">J7-H7</f>
        <v>4.8611111111111105E-2</v>
      </c>
      <c r="L7" s="153">
        <v>94</v>
      </c>
      <c r="M7" s="161">
        <v>2</v>
      </c>
    </row>
    <row r="8" spans="1:13" ht="24" customHeight="1" x14ac:dyDescent="0.25">
      <c r="B8" s="160">
        <v>0.46527777777777779</v>
      </c>
      <c r="C8" s="150">
        <v>0.48541666666666666</v>
      </c>
      <c r="D8" s="150">
        <v>0.50486111111111109</v>
      </c>
      <c r="E8" s="151">
        <f t="shared" si="2"/>
        <v>3.9583333333333304E-2</v>
      </c>
      <c r="F8" s="152">
        <v>93</v>
      </c>
      <c r="G8" s="161">
        <v>1</v>
      </c>
      <c r="H8" s="160">
        <v>0.51041666666666663</v>
      </c>
      <c r="I8" s="150">
        <v>0.53125</v>
      </c>
      <c r="J8" s="150">
        <v>0.55000000000000004</v>
      </c>
      <c r="K8" s="151">
        <f t="shared" si="3"/>
        <v>3.9583333333333415E-2</v>
      </c>
      <c r="L8" s="153">
        <v>94</v>
      </c>
      <c r="M8" s="161">
        <v>2</v>
      </c>
    </row>
    <row r="9" spans="1:13" ht="24" customHeight="1" x14ac:dyDescent="0.25">
      <c r="B9" s="160">
        <v>0.51666666666666672</v>
      </c>
      <c r="C9" s="150">
        <v>0.53402777777777777</v>
      </c>
      <c r="D9" s="150">
        <v>0.55347222222222225</v>
      </c>
      <c r="E9" s="151">
        <f t="shared" si="2"/>
        <v>3.6805555555555536E-2</v>
      </c>
      <c r="F9" s="152">
        <v>93</v>
      </c>
      <c r="G9" s="161">
        <v>1</v>
      </c>
      <c r="H9" s="162"/>
      <c r="I9" s="154"/>
      <c r="J9" s="154"/>
      <c r="K9" s="154"/>
      <c r="L9" s="154"/>
      <c r="M9" s="170"/>
    </row>
    <row r="10" spans="1:13" ht="24" customHeight="1" thickBot="1" x14ac:dyDescent="0.3">
      <c r="B10" s="167"/>
      <c r="C10" s="168"/>
      <c r="D10" s="168"/>
      <c r="E10" s="168"/>
      <c r="F10" s="168"/>
      <c r="G10" s="169"/>
      <c r="H10" s="167"/>
      <c r="I10" s="168"/>
      <c r="J10" s="168"/>
      <c r="K10" s="168"/>
      <c r="L10" s="168"/>
      <c r="M10" s="169"/>
    </row>
    <row r="11" spans="1:13" ht="24" customHeight="1" thickBot="1" x14ac:dyDescent="0.3"/>
    <row r="12" spans="1:13" ht="24" customHeight="1" x14ac:dyDescent="0.25">
      <c r="B12" s="155">
        <v>0.57499999999999996</v>
      </c>
      <c r="C12" s="156">
        <v>0.59930555555555554</v>
      </c>
      <c r="D12" s="156">
        <v>0.62083333333333335</v>
      </c>
      <c r="E12" s="157">
        <f t="shared" ref="E12:E15" si="4">D12-B12</f>
        <v>4.5833333333333393E-2</v>
      </c>
      <c r="F12" s="158">
        <v>93</v>
      </c>
      <c r="G12" s="159">
        <v>2</v>
      </c>
    </row>
    <row r="13" spans="1:13" ht="24" customHeight="1" x14ac:dyDescent="0.25">
      <c r="B13" s="160">
        <v>0.6333333333333333</v>
      </c>
      <c r="C13" s="150">
        <v>0.65416666666666667</v>
      </c>
      <c r="D13" s="150">
        <v>0.67500000000000004</v>
      </c>
      <c r="E13" s="151">
        <f t="shared" si="4"/>
        <v>4.1666666666666741E-2</v>
      </c>
      <c r="F13" s="152">
        <v>93</v>
      </c>
      <c r="G13" s="161">
        <v>2</v>
      </c>
    </row>
    <row r="14" spans="1:13" ht="24" customHeight="1" x14ac:dyDescent="0.25">
      <c r="B14" s="160">
        <v>0.69097222222222221</v>
      </c>
      <c r="C14" s="150">
        <v>0.71388888888888891</v>
      </c>
      <c r="D14" s="150">
        <v>0.73819444444444449</v>
      </c>
      <c r="E14" s="151">
        <f t="shared" si="4"/>
        <v>4.7222222222222276E-2</v>
      </c>
      <c r="F14" s="152">
        <v>93</v>
      </c>
      <c r="G14" s="161">
        <v>2</v>
      </c>
    </row>
    <row r="15" spans="1:13" ht="24" customHeight="1" thickBot="1" x14ac:dyDescent="0.3">
      <c r="A15" s="149"/>
      <c r="B15" s="160">
        <v>0.74583333333333335</v>
      </c>
      <c r="C15" s="150">
        <v>0.76597222222222228</v>
      </c>
      <c r="D15" s="150">
        <v>0.79027777777777775</v>
      </c>
      <c r="E15" s="151">
        <f t="shared" si="4"/>
        <v>4.4444444444444398E-2</v>
      </c>
      <c r="F15" s="152">
        <v>93</v>
      </c>
      <c r="G15" s="161">
        <v>2</v>
      </c>
    </row>
    <row r="16" spans="1:13" ht="24" customHeight="1" thickBot="1" x14ac:dyDescent="0.3">
      <c r="B16" s="53">
        <f>IF(D15="",C15,D15)</f>
        <v>0.79027777777777775</v>
      </c>
      <c r="C16" s="54"/>
      <c r="D16" s="53">
        <f>IF(B17="",C17,B17)</f>
        <v>0.85416666666666663</v>
      </c>
      <c r="E16" s="54"/>
      <c r="F16" s="54">
        <f>D16-B16</f>
        <v>6.3888888888888884E-2</v>
      </c>
      <c r="G16" s="54"/>
    </row>
    <row r="17" spans="1:13" ht="24" customHeight="1" x14ac:dyDescent="0.25">
      <c r="B17" s="160">
        <v>0.85416666666666663</v>
      </c>
      <c r="C17" s="150">
        <v>0.875</v>
      </c>
      <c r="D17" s="150">
        <v>0.89652777777777781</v>
      </c>
      <c r="E17" s="151">
        <f>D17-B17</f>
        <v>4.2361111111111183E-2</v>
      </c>
      <c r="F17" s="152">
        <v>93</v>
      </c>
      <c r="G17" s="161">
        <v>2</v>
      </c>
    </row>
    <row r="18" spans="1:13" ht="24" customHeight="1" thickBot="1" x14ac:dyDescent="0.3">
      <c r="B18" s="167"/>
      <c r="C18" s="168"/>
      <c r="D18" s="168"/>
      <c r="E18" s="168"/>
      <c r="F18" s="168"/>
      <c r="G18" s="169"/>
    </row>
    <row r="21" spans="1:13" ht="24" customHeight="1" x14ac:dyDescent="0.25">
      <c r="A21" s="149"/>
    </row>
    <row r="22" spans="1:13" ht="24" customHeight="1" thickBot="1" x14ac:dyDescent="0.3"/>
    <row r="23" spans="1:13" ht="24" customHeight="1" x14ac:dyDescent="0.25">
      <c r="B23" s="155">
        <v>0.22222222222222221</v>
      </c>
      <c r="C23" s="156">
        <v>0.24513888888888888</v>
      </c>
      <c r="D23" s="156">
        <v>0.26527777777777778</v>
      </c>
      <c r="E23" s="157">
        <f t="shared" ref="E23:E26" si="5">D23-B23</f>
        <v>4.3055555555555569E-2</v>
      </c>
      <c r="F23" s="164">
        <v>94</v>
      </c>
      <c r="G23" s="159">
        <v>3</v>
      </c>
    </row>
    <row r="24" spans="1:13" ht="24" customHeight="1" x14ac:dyDescent="0.25">
      <c r="B24" s="160">
        <v>0.27708333333333335</v>
      </c>
      <c r="C24" s="150">
        <v>0.2951388888888889</v>
      </c>
      <c r="D24" s="150">
        <v>0.31388888888888888</v>
      </c>
      <c r="E24" s="151">
        <f t="shared" si="5"/>
        <v>3.6805555555555536E-2</v>
      </c>
      <c r="F24" s="152">
        <v>93</v>
      </c>
      <c r="G24" s="161">
        <v>3</v>
      </c>
    </row>
    <row r="25" spans="1:13" ht="24" customHeight="1" x14ac:dyDescent="0.25">
      <c r="B25" s="160">
        <v>0.31944444444444442</v>
      </c>
      <c r="C25" s="150">
        <v>0.34305555555555556</v>
      </c>
      <c r="D25" s="150">
        <v>0.36180555555555555</v>
      </c>
      <c r="E25" s="151">
        <f t="shared" si="5"/>
        <v>4.2361111111111127E-2</v>
      </c>
      <c r="F25" s="153">
        <v>94</v>
      </c>
      <c r="G25" s="161">
        <v>3</v>
      </c>
    </row>
    <row r="26" spans="1:13" ht="24" customHeight="1" thickBot="1" x14ac:dyDescent="0.3">
      <c r="B26" s="160">
        <v>0.36805555555555558</v>
      </c>
      <c r="C26" s="150">
        <v>0.39166666666666666</v>
      </c>
      <c r="D26" s="150">
        <v>0.41249999999999998</v>
      </c>
      <c r="E26" s="151">
        <f t="shared" si="5"/>
        <v>4.4444444444444398E-2</v>
      </c>
      <c r="F26" s="153">
        <v>94</v>
      </c>
      <c r="G26" s="161">
        <v>3</v>
      </c>
    </row>
    <row r="27" spans="1:13" ht="24" customHeight="1" thickBot="1" x14ac:dyDescent="0.3">
      <c r="B27" s="53">
        <f>IF(D26="",C26,D26)</f>
        <v>0.41249999999999998</v>
      </c>
      <c r="C27" s="54"/>
      <c r="D27" s="53">
        <f>IF(B28="",C28,B28)</f>
        <v>0.47499999999999998</v>
      </c>
      <c r="E27" s="54"/>
      <c r="F27" s="54">
        <f>D27-B27</f>
        <v>6.25E-2</v>
      </c>
      <c r="G27" s="54"/>
    </row>
    <row r="28" spans="1:13" ht="24" customHeight="1" x14ac:dyDescent="0.25">
      <c r="B28" s="160">
        <v>0.47499999999999998</v>
      </c>
      <c r="C28" s="150">
        <v>0.50069444444444444</v>
      </c>
      <c r="D28" s="150">
        <v>0.52083333333333337</v>
      </c>
      <c r="E28" s="151">
        <f t="shared" ref="E28:E29" si="6">D28-B28</f>
        <v>4.5833333333333393E-2</v>
      </c>
      <c r="F28" s="153">
        <v>94</v>
      </c>
      <c r="G28" s="161">
        <v>3</v>
      </c>
    </row>
    <row r="29" spans="1:13" ht="24" customHeight="1" x14ac:dyDescent="0.25">
      <c r="A29" s="149"/>
      <c r="B29" s="160">
        <v>0.54652777777777772</v>
      </c>
      <c r="C29" s="150">
        <v>0.57013888888888886</v>
      </c>
      <c r="D29" s="150">
        <v>0.59236111111111112</v>
      </c>
      <c r="E29" s="151">
        <f t="shared" si="6"/>
        <v>4.5833333333333393E-2</v>
      </c>
      <c r="F29" s="153">
        <v>94</v>
      </c>
      <c r="G29" s="161">
        <v>3</v>
      </c>
    </row>
    <row r="30" spans="1:13" ht="24" customHeight="1" thickBot="1" x14ac:dyDescent="0.3">
      <c r="B30" s="167"/>
      <c r="C30" s="168"/>
      <c r="D30" s="168"/>
      <c r="E30" s="168"/>
      <c r="F30" s="168"/>
      <c r="G30" s="169"/>
    </row>
    <row r="31" spans="1:13" ht="24" customHeight="1" thickBot="1" x14ac:dyDescent="0.3"/>
    <row r="32" spans="1:13" ht="24" customHeight="1" x14ac:dyDescent="0.25">
      <c r="B32" s="155">
        <v>0.58194444444444449</v>
      </c>
      <c r="C32" s="156">
        <v>0.60763888888888884</v>
      </c>
      <c r="D32" s="156">
        <v>0.63124999999999998</v>
      </c>
      <c r="E32" s="157">
        <f t="shared" ref="E32:E35" si="7">D32-B32</f>
        <v>4.9305555555555491E-2</v>
      </c>
      <c r="F32" s="164">
        <v>94</v>
      </c>
      <c r="G32" s="159">
        <v>1</v>
      </c>
      <c r="H32" s="155">
        <v>0.6166666666666667</v>
      </c>
      <c r="I32" s="156">
        <v>0.6381944444444444</v>
      </c>
      <c r="J32" s="156">
        <v>0.65902777777777777</v>
      </c>
      <c r="K32" s="157">
        <f t="shared" ref="K32:K35" si="8">J32-H32</f>
        <v>4.2361111111111072E-2</v>
      </c>
      <c r="L32" s="164">
        <v>94</v>
      </c>
      <c r="M32" s="159">
        <v>3</v>
      </c>
    </row>
    <row r="33" spans="1:13" ht="24" customHeight="1" x14ac:dyDescent="0.25">
      <c r="B33" s="160">
        <v>0.65138888888888891</v>
      </c>
      <c r="C33" s="150">
        <v>0.6743055555555556</v>
      </c>
      <c r="D33" s="150">
        <v>0.69652777777777775</v>
      </c>
      <c r="E33" s="151">
        <f t="shared" si="7"/>
        <v>4.513888888888884E-2</v>
      </c>
      <c r="F33" s="153">
        <v>94</v>
      </c>
      <c r="G33" s="161">
        <v>1</v>
      </c>
      <c r="H33" s="160">
        <v>0.66666666666666663</v>
      </c>
      <c r="I33" s="150">
        <v>0.68958333333333333</v>
      </c>
      <c r="J33" s="150">
        <v>0.71180555555555558</v>
      </c>
      <c r="K33" s="151">
        <f t="shared" si="8"/>
        <v>4.5138888888888951E-2</v>
      </c>
      <c r="L33" s="152">
        <v>93</v>
      </c>
      <c r="M33" s="161">
        <v>3</v>
      </c>
    </row>
    <row r="34" spans="1:13" ht="24" customHeight="1" x14ac:dyDescent="0.25">
      <c r="B34" s="160">
        <v>0.71527777777777779</v>
      </c>
      <c r="C34" s="150">
        <v>0.73541666666666672</v>
      </c>
      <c r="D34" s="150">
        <v>0.75972222222222219</v>
      </c>
      <c r="E34" s="151">
        <f t="shared" si="7"/>
        <v>4.4444444444444398E-2</v>
      </c>
      <c r="F34" s="152">
        <v>93</v>
      </c>
      <c r="G34" s="161">
        <v>1</v>
      </c>
      <c r="H34" s="160">
        <v>0.72291666666666665</v>
      </c>
      <c r="I34" s="150">
        <v>0.74930555555555556</v>
      </c>
      <c r="J34" s="150">
        <v>0.77708333333333335</v>
      </c>
      <c r="K34" s="151">
        <f t="shared" si="8"/>
        <v>5.4166666666666696E-2</v>
      </c>
      <c r="L34" s="153">
        <v>94</v>
      </c>
      <c r="M34" s="161">
        <v>3</v>
      </c>
    </row>
    <row r="35" spans="1:13" ht="24" customHeight="1" thickBot="1" x14ac:dyDescent="0.3">
      <c r="B35" s="160">
        <v>0.77638888888888891</v>
      </c>
      <c r="C35" s="150">
        <v>0.79722222222222228</v>
      </c>
      <c r="D35" s="150">
        <v>0.81666666666666665</v>
      </c>
      <c r="E35" s="151">
        <f t="shared" si="7"/>
        <v>4.0277777777777746E-2</v>
      </c>
      <c r="F35" s="152">
        <v>93</v>
      </c>
      <c r="G35" s="161">
        <v>1</v>
      </c>
      <c r="H35" s="160">
        <v>0.78541666666666665</v>
      </c>
      <c r="I35" s="150">
        <v>0.8125</v>
      </c>
      <c r="J35" s="150">
        <v>0.83680555555555558</v>
      </c>
      <c r="K35" s="151">
        <f t="shared" si="8"/>
        <v>5.1388888888888928E-2</v>
      </c>
      <c r="L35" s="153">
        <v>94</v>
      </c>
      <c r="M35" s="161">
        <v>3</v>
      </c>
    </row>
    <row r="36" spans="1:13" ht="24" customHeight="1" thickBot="1" x14ac:dyDescent="0.3">
      <c r="A36" s="149"/>
      <c r="B36" s="53">
        <f>IF(D35="",C35,D35)</f>
        <v>0.81666666666666665</v>
      </c>
      <c r="C36" s="54"/>
      <c r="D36" s="53">
        <f>IF(B37="",C37,B37)</f>
        <v>0.87152777777777779</v>
      </c>
      <c r="E36" s="54"/>
      <c r="F36" s="54">
        <f>D36-B36</f>
        <v>5.4861111111111138E-2</v>
      </c>
      <c r="G36" s="54"/>
      <c r="H36" s="53">
        <f>IF(J35="",I35,J35)</f>
        <v>0.83680555555555558</v>
      </c>
      <c r="I36" s="54"/>
      <c r="J36" s="53">
        <f>IF(H37="",I37,H37)</f>
        <v>0.88541666666666663</v>
      </c>
      <c r="K36" s="54"/>
      <c r="L36" s="54">
        <f>J36-H36</f>
        <v>4.8611111111111049E-2</v>
      </c>
      <c r="M36" s="54"/>
    </row>
    <row r="37" spans="1:13" ht="24" customHeight="1" x14ac:dyDescent="0.25">
      <c r="B37" s="160">
        <v>0.87152777777777779</v>
      </c>
      <c r="C37" s="150">
        <v>0.89375000000000004</v>
      </c>
      <c r="D37" s="150">
        <v>0.91249999999999998</v>
      </c>
      <c r="E37" s="151">
        <f t="shared" ref="E37:E38" si="9">D37-B37</f>
        <v>4.0972222222222188E-2</v>
      </c>
      <c r="F37" s="153">
        <v>94</v>
      </c>
      <c r="G37" s="161">
        <v>1</v>
      </c>
      <c r="H37" s="160">
        <v>0.88541666666666663</v>
      </c>
      <c r="I37" s="150">
        <v>0.90486111111111112</v>
      </c>
      <c r="J37" s="150">
        <v>0.92361111111111116</v>
      </c>
      <c r="K37" s="151">
        <f t="shared" ref="K37:K38" si="10">J37-H37</f>
        <v>3.8194444444444531E-2</v>
      </c>
      <c r="L37" s="152">
        <v>93</v>
      </c>
      <c r="M37" s="161">
        <v>3</v>
      </c>
    </row>
    <row r="38" spans="1:13" ht="24" customHeight="1" x14ac:dyDescent="0.25">
      <c r="B38" s="160">
        <v>0.92708333333333337</v>
      </c>
      <c r="C38" s="150">
        <v>0.9458333333333333</v>
      </c>
      <c r="D38" s="150">
        <v>0.96319444444444446</v>
      </c>
      <c r="E38" s="151">
        <f t="shared" si="9"/>
        <v>3.6111111111111094E-2</v>
      </c>
      <c r="F38" s="153">
        <v>94</v>
      </c>
      <c r="G38" s="161">
        <v>1</v>
      </c>
      <c r="H38" s="160">
        <v>0.93055555555555558</v>
      </c>
      <c r="I38" s="150">
        <v>0.94861111111111107</v>
      </c>
      <c r="J38" s="150">
        <v>0.96597222222222223</v>
      </c>
      <c r="K38" s="151">
        <f t="shared" si="10"/>
        <v>3.5416666666666652E-2</v>
      </c>
      <c r="L38" s="152">
        <v>93</v>
      </c>
      <c r="M38" s="161">
        <v>3</v>
      </c>
    </row>
    <row r="39" spans="1:13" ht="24" customHeight="1" thickBot="1" x14ac:dyDescent="0.3">
      <c r="B39" s="167"/>
      <c r="C39" s="168"/>
      <c r="D39" s="168"/>
      <c r="E39" s="168"/>
      <c r="F39" s="168"/>
      <c r="G39" s="169"/>
      <c r="H39" s="167"/>
      <c r="I39" s="168"/>
      <c r="J39" s="168"/>
      <c r="K39" s="168"/>
      <c r="L39" s="168"/>
      <c r="M39" s="169"/>
    </row>
    <row r="44" spans="1:13" ht="24" customHeight="1" x14ac:dyDescent="0.25">
      <c r="A44" s="149"/>
    </row>
    <row r="49" spans="2:5" ht="24" customHeight="1" x14ac:dyDescent="0.25">
      <c r="B49" s="150">
        <v>0.1875</v>
      </c>
      <c r="E49" s="150">
        <v>0.22222222222222221</v>
      </c>
    </row>
    <row r="50" spans="2:5" ht="24" customHeight="1" x14ac:dyDescent="0.25">
      <c r="B50" s="150">
        <v>0.20833333333333334</v>
      </c>
      <c r="E50" s="150">
        <v>0.27083333333333331</v>
      </c>
    </row>
    <row r="51" spans="2:5" ht="24" customHeight="1" x14ac:dyDescent="0.25">
      <c r="B51" s="150">
        <v>0.22916666666666666</v>
      </c>
      <c r="E51" s="150">
        <v>0.31944444444444442</v>
      </c>
    </row>
    <row r="52" spans="2:5" ht="24" customHeight="1" x14ac:dyDescent="0.25">
      <c r="B52" s="150">
        <v>0.25069444444444444</v>
      </c>
      <c r="E52" s="150">
        <v>0.36805555555555558</v>
      </c>
    </row>
    <row r="53" spans="2:5" ht="24" customHeight="1" x14ac:dyDescent="0.25">
      <c r="B53" s="150">
        <v>0.27708333333333335</v>
      </c>
      <c r="E53" s="150">
        <v>0.43680555555555556</v>
      </c>
    </row>
    <row r="54" spans="2:5" ht="24" customHeight="1" x14ac:dyDescent="0.25">
      <c r="B54" s="150">
        <v>0.2986111111111111</v>
      </c>
      <c r="E54" s="150">
        <v>0.47499999999999998</v>
      </c>
    </row>
    <row r="55" spans="2:5" ht="24" customHeight="1" x14ac:dyDescent="0.25">
      <c r="B55" s="150">
        <v>0.32500000000000001</v>
      </c>
      <c r="E55" s="150">
        <v>0.51041666666666663</v>
      </c>
    </row>
    <row r="56" spans="2:5" ht="24" customHeight="1" x14ac:dyDescent="0.25">
      <c r="B56" s="150">
        <v>0.35138888888888886</v>
      </c>
      <c r="E56" s="150">
        <v>0.54652777777777772</v>
      </c>
    </row>
    <row r="57" spans="2:5" ht="24" customHeight="1" x14ac:dyDescent="0.25">
      <c r="B57" s="150">
        <v>0.41041666666666665</v>
      </c>
      <c r="E57" s="150">
        <v>0.58194444444444449</v>
      </c>
    </row>
    <row r="58" spans="2:5" ht="24" customHeight="1" x14ac:dyDescent="0.25">
      <c r="B58" s="150">
        <v>0.46527777777777779</v>
      </c>
      <c r="E58" s="150">
        <v>0.6166666666666667</v>
      </c>
    </row>
    <row r="59" spans="2:5" ht="24" customHeight="1" x14ac:dyDescent="0.25">
      <c r="B59" s="150">
        <v>0.51666666666666672</v>
      </c>
      <c r="E59" s="150">
        <v>0.65138888888888891</v>
      </c>
    </row>
    <row r="60" spans="2:5" ht="24" customHeight="1" x14ac:dyDescent="0.25">
      <c r="B60" s="150">
        <v>0.57499999999999996</v>
      </c>
      <c r="E60" s="150">
        <v>0.72291666666666665</v>
      </c>
    </row>
    <row r="61" spans="2:5" ht="24" customHeight="1" x14ac:dyDescent="0.25">
      <c r="B61" s="150">
        <v>0.6333333333333333</v>
      </c>
      <c r="E61" s="150">
        <v>0.78541666666666665</v>
      </c>
    </row>
    <row r="62" spans="2:5" ht="24" customHeight="1" x14ac:dyDescent="0.25">
      <c r="B62" s="150">
        <v>0.66666666666666663</v>
      </c>
      <c r="E62" s="150">
        <v>0.87152777777777779</v>
      </c>
    </row>
    <row r="63" spans="2:5" ht="24" customHeight="1" x14ac:dyDescent="0.25">
      <c r="B63" s="150">
        <v>0.69097222222222221</v>
      </c>
      <c r="E63" s="150">
        <v>0.92708333333333337</v>
      </c>
    </row>
    <row r="64" spans="2:5" ht="24" customHeight="1" x14ac:dyDescent="0.25">
      <c r="B64" s="150">
        <v>0.71527777777777779</v>
      </c>
    </row>
    <row r="65" spans="2:2" ht="24" customHeight="1" x14ac:dyDescent="0.25">
      <c r="B65" s="150">
        <v>0.74583333333333335</v>
      </c>
    </row>
    <row r="66" spans="2:2" ht="24" customHeight="1" x14ac:dyDescent="0.25">
      <c r="B66" s="150">
        <v>0.77638888888888891</v>
      </c>
    </row>
    <row r="67" spans="2:2" ht="24" customHeight="1" x14ac:dyDescent="0.25">
      <c r="B67" s="150">
        <v>0.85416666666666663</v>
      </c>
    </row>
    <row r="68" spans="2:2" ht="24" customHeight="1" x14ac:dyDescent="0.25">
      <c r="B68" s="150">
        <v>0.88541666666666663</v>
      </c>
    </row>
    <row r="69" spans="2:2" ht="24" customHeight="1" x14ac:dyDescent="0.25">
      <c r="B69" s="150">
        <v>0.93055555555555558</v>
      </c>
    </row>
  </sheetData>
  <autoFilter ref="A1:G46" xr:uid="{3B5BEEA6-DB4C-4585-B98C-A740A661D785}"/>
  <sortState xmlns:xlrd2="http://schemas.microsoft.com/office/spreadsheetml/2017/richdata2" ref="E49:E63">
    <sortCondition ref="E49:E63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D17D-C9BE-41CD-9A07-37EB2B00FC5F}">
  <dimension ref="A1:U200"/>
  <sheetViews>
    <sheetView zoomScale="85" zoomScaleNormal="85" workbookViewId="0">
      <pane ySplit="2" topLeftCell="A3" activePane="bottomLeft" state="frozen"/>
      <selection activeCell="F70" sqref="F70"/>
      <selection pane="bottomLeft" activeCell="F70" sqref="F70"/>
    </sheetView>
  </sheetViews>
  <sheetFormatPr defaultRowHeight="15" x14ac:dyDescent="0.25"/>
  <cols>
    <col min="1" max="7" width="7.7109375" customWidth="1"/>
    <col min="9" max="9" width="1.7109375" customWidth="1"/>
    <col min="13" max="13" width="1.7109375" customWidth="1"/>
  </cols>
  <sheetData>
    <row r="1" spans="1:21" s="28" customFormat="1" x14ac:dyDescent="0.25">
      <c r="A1" s="26"/>
      <c r="B1" s="26"/>
      <c r="C1" s="26"/>
      <c r="D1" s="26"/>
      <c r="E1" s="26"/>
      <c r="F1" s="26"/>
      <c r="G1" s="26"/>
      <c r="H1" s="32" t="s">
        <v>23</v>
      </c>
      <c r="I1" s="27"/>
      <c r="J1" s="17" t="str">
        <f>IF(B1&lt;0.458333333333333,CONCATENATE(A1,".","1 - TU"),CONCATENATE(A1,".","2 - TU"))</f>
        <v>.1 - TU</v>
      </c>
      <c r="K1" s="26" t="s">
        <v>13</v>
      </c>
      <c r="L1" s="27"/>
      <c r="M1" s="27"/>
      <c r="N1" s="26" t="s">
        <v>17</v>
      </c>
      <c r="O1" s="27"/>
    </row>
    <row r="2" spans="1:21" s="28" customFormat="1" x14ac:dyDescent="0.25">
      <c r="A2" s="24" t="s">
        <v>18</v>
      </c>
      <c r="B2" s="23" t="s">
        <v>13</v>
      </c>
      <c r="C2" s="25" t="s">
        <v>17</v>
      </c>
      <c r="D2" s="23" t="s">
        <v>19</v>
      </c>
      <c r="E2" s="22" t="s">
        <v>20</v>
      </c>
      <c r="F2" s="23" t="s">
        <v>21</v>
      </c>
      <c r="G2" s="23" t="s">
        <v>22</v>
      </c>
      <c r="H2" s="32">
        <v>1</v>
      </c>
      <c r="I2" s="27"/>
      <c r="J2" s="24" t="s">
        <v>14</v>
      </c>
      <c r="K2" s="27" t="s">
        <v>15</v>
      </c>
      <c r="L2" s="27" t="s">
        <v>16</v>
      </c>
      <c r="M2" s="27"/>
      <c r="N2" s="27" t="s">
        <v>15</v>
      </c>
      <c r="O2" s="27" t="s">
        <v>16</v>
      </c>
    </row>
    <row r="3" spans="1:21" s="28" customFormat="1" x14ac:dyDescent="0.25">
      <c r="A3" s="101"/>
      <c r="B3" s="102"/>
      <c r="C3" s="102"/>
      <c r="D3" s="102"/>
      <c r="E3" s="102"/>
      <c r="F3" s="103"/>
      <c r="G3" s="103"/>
      <c r="H3" s="33">
        <f>H2</f>
        <v>1</v>
      </c>
      <c r="J3" s="29" t="str" cm="1">
        <f t="array" ref="J3">IF(H3=1,CONCATENATE(A3,".",H3),CONCATENATE(A3-(MAX(IF(H:H=1,A:A,))),".",H3))</f>
        <v>.1</v>
      </c>
      <c r="K3" s="79" t="str">
        <f>IF($A3="","",(IF($C3-$B3&lt;0.0007,"*****",B3)))</f>
        <v/>
      </c>
      <c r="L3" s="79" t="str">
        <f>IF($A3="","",(IF($C3-$B3&lt;0.0007,"*****",C3)))</f>
        <v/>
      </c>
      <c r="M3" s="29"/>
      <c r="N3" s="79" t="str">
        <f>IF($A3="","",(IF($D3-$C3&lt;0.0007,"*****",C3)))</f>
        <v/>
      </c>
      <c r="O3" s="79" t="str">
        <f>IF($A3="","",(IF($D3-$C3&lt;0.0007,"*****",D3)))</f>
        <v/>
      </c>
    </row>
    <row r="4" spans="1:21" s="28" customFormat="1" x14ac:dyDescent="0.25">
      <c r="A4" s="101"/>
      <c r="B4" s="102"/>
      <c r="C4" s="102"/>
      <c r="D4" s="102"/>
      <c r="E4" s="102"/>
      <c r="F4" s="103"/>
      <c r="G4" s="103"/>
      <c r="H4" s="33">
        <f t="shared" ref="H4:H67" si="0">H3</f>
        <v>1</v>
      </c>
      <c r="J4" s="29"/>
      <c r="K4" s="79"/>
      <c r="L4" s="79"/>
      <c r="M4" s="29"/>
      <c r="N4" s="79"/>
      <c r="O4" s="79"/>
      <c r="Q4" s="31"/>
      <c r="R4"/>
      <c r="S4"/>
      <c r="T4"/>
      <c r="U4"/>
    </row>
    <row r="5" spans="1:21" s="28" customFormat="1" x14ac:dyDescent="0.25">
      <c r="A5" s="101"/>
      <c r="B5" s="102"/>
      <c r="C5" s="102"/>
      <c r="D5" s="102"/>
      <c r="E5" s="102"/>
      <c r="F5" s="103"/>
      <c r="G5" s="103"/>
      <c r="H5" s="33">
        <f t="shared" si="0"/>
        <v>1</v>
      </c>
      <c r="J5" s="29"/>
      <c r="K5" s="79"/>
      <c r="L5" s="79"/>
      <c r="M5" s="29"/>
      <c r="N5" s="79"/>
      <c r="O5" s="79"/>
      <c r="R5"/>
      <c r="S5"/>
      <c r="T5"/>
      <c r="U5"/>
    </row>
    <row r="6" spans="1:21" s="28" customFormat="1" x14ac:dyDescent="0.25">
      <c r="A6" s="101"/>
      <c r="B6" s="102"/>
      <c r="C6" s="102"/>
      <c r="D6" s="102"/>
      <c r="E6" s="102"/>
      <c r="F6" s="103"/>
      <c r="G6" s="103"/>
      <c r="H6" s="33">
        <f t="shared" si="0"/>
        <v>1</v>
      </c>
      <c r="J6" s="29"/>
      <c r="K6" s="79"/>
      <c r="L6" s="79"/>
      <c r="M6" s="29"/>
      <c r="N6" s="79"/>
      <c r="O6" s="79"/>
      <c r="R6"/>
      <c r="S6"/>
      <c r="T6"/>
      <c r="U6"/>
    </row>
    <row r="7" spans="1:21" s="28" customFormat="1" x14ac:dyDescent="0.25">
      <c r="A7" s="101"/>
      <c r="B7" s="102"/>
      <c r="C7" s="102"/>
      <c r="D7" s="102"/>
      <c r="E7" s="102"/>
      <c r="F7" s="103"/>
      <c r="G7" s="103"/>
      <c r="H7" s="33">
        <f t="shared" si="0"/>
        <v>1</v>
      </c>
      <c r="J7" s="29"/>
      <c r="K7" s="79"/>
      <c r="L7" s="79"/>
      <c r="M7" s="29"/>
      <c r="N7" s="79"/>
      <c r="O7" s="79"/>
      <c r="R7"/>
      <c r="S7"/>
      <c r="T7"/>
      <c r="U7"/>
    </row>
    <row r="8" spans="1:21" s="28" customFormat="1" x14ac:dyDescent="0.25">
      <c r="A8" s="101"/>
      <c r="B8" s="102"/>
      <c r="C8" s="102"/>
      <c r="D8" s="102"/>
      <c r="E8" s="102"/>
      <c r="F8" s="103"/>
      <c r="G8" s="103"/>
      <c r="H8" s="33">
        <f t="shared" si="0"/>
        <v>1</v>
      </c>
      <c r="J8" s="29"/>
      <c r="K8" s="79"/>
      <c r="L8" s="79"/>
      <c r="M8" s="29"/>
      <c r="N8" s="79"/>
      <c r="O8" s="79"/>
      <c r="R8"/>
      <c r="S8"/>
      <c r="T8"/>
      <c r="U8"/>
    </row>
    <row r="9" spans="1:21" s="28" customFormat="1" x14ac:dyDescent="0.25">
      <c r="A9" s="101"/>
      <c r="B9" s="102"/>
      <c r="C9" s="102"/>
      <c r="D9" s="102"/>
      <c r="E9" s="102"/>
      <c r="F9" s="103"/>
      <c r="G9" s="103"/>
      <c r="H9" s="33">
        <f t="shared" si="0"/>
        <v>1</v>
      </c>
      <c r="J9" s="29"/>
      <c r="K9" s="79"/>
      <c r="L9" s="79"/>
      <c r="M9" s="29"/>
      <c r="N9" s="79"/>
      <c r="O9" s="79"/>
      <c r="R9"/>
      <c r="S9"/>
      <c r="T9"/>
      <c r="U9"/>
    </row>
    <row r="10" spans="1:21" s="28" customFormat="1" x14ac:dyDescent="0.25">
      <c r="A10" s="101"/>
      <c r="B10" s="102"/>
      <c r="C10" s="102"/>
      <c r="D10" s="102"/>
      <c r="E10" s="102"/>
      <c r="F10" s="103"/>
      <c r="G10" s="103"/>
      <c r="H10" s="33">
        <f t="shared" si="0"/>
        <v>1</v>
      </c>
      <c r="J10" s="29"/>
      <c r="K10" s="79"/>
      <c r="L10" s="79"/>
      <c r="M10" s="29"/>
      <c r="N10" s="79"/>
      <c r="O10" s="79"/>
      <c r="R10"/>
      <c r="S10"/>
      <c r="T10"/>
      <c r="U10"/>
    </row>
    <row r="11" spans="1:21" s="28" customFormat="1" x14ac:dyDescent="0.25">
      <c r="A11" s="101"/>
      <c r="B11" s="102"/>
      <c r="C11" s="102"/>
      <c r="D11" s="102"/>
      <c r="E11" s="102"/>
      <c r="F11" s="103"/>
      <c r="G11" s="103"/>
      <c r="H11" s="33">
        <f t="shared" si="0"/>
        <v>1</v>
      </c>
      <c r="J11" s="29"/>
      <c r="K11" s="79"/>
      <c r="L11" s="79"/>
      <c r="M11" s="29"/>
      <c r="N11" s="79"/>
      <c r="O11" s="79"/>
      <c r="R11"/>
      <c r="S11"/>
      <c r="T11"/>
      <c r="U11"/>
    </row>
    <row r="12" spans="1:21" s="28" customFormat="1" x14ac:dyDescent="0.25">
      <c r="A12" s="101"/>
      <c r="B12" s="102"/>
      <c r="C12" s="102"/>
      <c r="D12" s="102"/>
      <c r="E12" s="102"/>
      <c r="F12" s="103"/>
      <c r="G12" s="103"/>
      <c r="H12" s="33">
        <f t="shared" si="0"/>
        <v>1</v>
      </c>
      <c r="J12" s="29"/>
      <c r="K12" s="79"/>
      <c r="L12" s="79"/>
      <c r="M12" s="29"/>
      <c r="N12" s="79"/>
      <c r="O12" s="79"/>
      <c r="R12"/>
      <c r="S12"/>
      <c r="T12"/>
      <c r="U12"/>
    </row>
    <row r="13" spans="1:21" s="28" customFormat="1" x14ac:dyDescent="0.25">
      <c r="A13" s="101"/>
      <c r="B13" s="102"/>
      <c r="C13" s="102"/>
      <c r="D13" s="102"/>
      <c r="E13" s="102"/>
      <c r="F13" s="103"/>
      <c r="G13" s="103"/>
      <c r="H13" s="33">
        <f t="shared" si="0"/>
        <v>1</v>
      </c>
      <c r="J13" s="29"/>
      <c r="K13" s="79"/>
      <c r="L13" s="79"/>
      <c r="M13" s="29"/>
      <c r="N13" s="79"/>
      <c r="O13" s="79"/>
      <c r="R13"/>
      <c r="S13"/>
      <c r="T13"/>
      <c r="U13"/>
    </row>
    <row r="14" spans="1:21" s="28" customFormat="1" x14ac:dyDescent="0.25">
      <c r="A14" s="101"/>
      <c r="B14" s="102"/>
      <c r="C14" s="102"/>
      <c r="D14" s="102"/>
      <c r="E14" s="102"/>
      <c r="F14" s="103"/>
      <c r="G14" s="103"/>
      <c r="H14" s="33">
        <f t="shared" si="0"/>
        <v>1</v>
      </c>
      <c r="J14" s="29"/>
      <c r="K14" s="79"/>
      <c r="L14" s="79"/>
      <c r="M14" s="29"/>
      <c r="N14" s="79"/>
      <c r="O14" s="79"/>
      <c r="R14"/>
      <c r="S14"/>
      <c r="T14"/>
      <c r="U14"/>
    </row>
    <row r="15" spans="1:21" s="28" customFormat="1" x14ac:dyDescent="0.25">
      <c r="A15" s="101"/>
      <c r="B15" s="102"/>
      <c r="C15" s="102"/>
      <c r="D15" s="102"/>
      <c r="E15" s="102"/>
      <c r="F15" s="103"/>
      <c r="G15" s="103"/>
      <c r="H15" s="33">
        <f t="shared" si="0"/>
        <v>1</v>
      </c>
      <c r="J15" s="29"/>
      <c r="K15" s="79"/>
      <c r="L15" s="79"/>
      <c r="M15" s="29"/>
      <c r="N15" s="79"/>
      <c r="O15" s="79"/>
      <c r="R15"/>
      <c r="S15"/>
      <c r="T15"/>
      <c r="U15"/>
    </row>
    <row r="16" spans="1:21" s="28" customFormat="1" x14ac:dyDescent="0.25">
      <c r="A16" s="101"/>
      <c r="B16" s="102"/>
      <c r="C16" s="102"/>
      <c r="D16" s="102"/>
      <c r="E16" s="102"/>
      <c r="F16" s="103"/>
      <c r="G16" s="103"/>
      <c r="H16" s="33">
        <f t="shared" si="0"/>
        <v>1</v>
      </c>
      <c r="J16" s="29"/>
      <c r="K16" s="79"/>
      <c r="L16" s="79"/>
      <c r="M16" s="29"/>
      <c r="N16" s="79"/>
      <c r="O16" s="79"/>
      <c r="R16"/>
      <c r="S16"/>
      <c r="T16"/>
      <c r="U16"/>
    </row>
    <row r="17" spans="1:21" s="28" customFormat="1" x14ac:dyDescent="0.25">
      <c r="A17" s="101"/>
      <c r="B17" s="102"/>
      <c r="C17" s="102"/>
      <c r="D17" s="102"/>
      <c r="E17" s="102"/>
      <c r="F17" s="103"/>
      <c r="G17" s="103"/>
      <c r="H17" s="33">
        <f t="shared" si="0"/>
        <v>1</v>
      </c>
      <c r="J17" s="29"/>
      <c r="K17" s="79"/>
      <c r="L17" s="79"/>
      <c r="M17" s="29"/>
      <c r="N17" s="79"/>
      <c r="O17" s="79"/>
      <c r="R17"/>
      <c r="S17"/>
      <c r="T17"/>
      <c r="U17"/>
    </row>
    <row r="18" spans="1:21" s="28" customFormat="1" x14ac:dyDescent="0.25">
      <c r="A18" s="101"/>
      <c r="B18" s="102"/>
      <c r="C18" s="102"/>
      <c r="D18" s="102"/>
      <c r="E18" s="102"/>
      <c r="F18" s="103"/>
      <c r="G18" s="103"/>
      <c r="H18" s="33">
        <f t="shared" si="0"/>
        <v>1</v>
      </c>
      <c r="J18" s="29"/>
      <c r="K18" s="79"/>
      <c r="L18" s="79"/>
      <c r="M18" s="29"/>
      <c r="N18" s="79"/>
      <c r="O18" s="79"/>
      <c r="R18"/>
      <c r="S18"/>
      <c r="T18"/>
      <c r="U18"/>
    </row>
    <row r="19" spans="1:21" s="28" customFormat="1" x14ac:dyDescent="0.25">
      <c r="A19" s="101"/>
      <c r="B19" s="102"/>
      <c r="C19" s="102"/>
      <c r="D19" s="102"/>
      <c r="E19" s="102"/>
      <c r="F19" s="103"/>
      <c r="G19" s="103"/>
      <c r="H19" s="33">
        <f t="shared" si="0"/>
        <v>1</v>
      </c>
      <c r="J19" s="29"/>
      <c r="K19" s="79"/>
      <c r="L19" s="79"/>
      <c r="M19" s="29"/>
      <c r="N19" s="79"/>
      <c r="O19" s="79"/>
      <c r="R19"/>
      <c r="S19"/>
      <c r="T19"/>
      <c r="U19"/>
    </row>
    <row r="20" spans="1:21" s="28" customFormat="1" x14ac:dyDescent="0.25">
      <c r="A20" s="101"/>
      <c r="B20" s="102"/>
      <c r="C20" s="102"/>
      <c r="D20" s="102"/>
      <c r="E20" s="102"/>
      <c r="F20" s="103"/>
      <c r="G20" s="103"/>
      <c r="H20" s="33">
        <f t="shared" si="0"/>
        <v>1</v>
      </c>
      <c r="J20" s="29"/>
      <c r="K20" s="79"/>
      <c r="L20" s="79"/>
      <c r="M20" s="29"/>
      <c r="N20" s="79"/>
      <c r="O20" s="79"/>
      <c r="R20"/>
      <c r="S20"/>
      <c r="T20"/>
      <c r="U20"/>
    </row>
    <row r="21" spans="1:21" s="28" customFormat="1" x14ac:dyDescent="0.25">
      <c r="A21" s="101"/>
      <c r="B21" s="102"/>
      <c r="C21" s="102"/>
      <c r="D21" s="102"/>
      <c r="E21" s="102"/>
      <c r="F21" s="103"/>
      <c r="G21" s="103"/>
      <c r="H21" s="33">
        <f t="shared" si="0"/>
        <v>1</v>
      </c>
      <c r="J21" s="29"/>
      <c r="K21" s="79"/>
      <c r="L21" s="79"/>
      <c r="M21" s="29"/>
      <c r="N21" s="79"/>
      <c r="O21" s="79"/>
      <c r="R21"/>
      <c r="S21"/>
      <c r="T21"/>
      <c r="U21"/>
    </row>
    <row r="22" spans="1:21" s="28" customFormat="1" x14ac:dyDescent="0.25">
      <c r="A22" s="101"/>
      <c r="B22" s="102"/>
      <c r="C22" s="102"/>
      <c r="D22" s="102"/>
      <c r="E22" s="102"/>
      <c r="F22" s="103"/>
      <c r="G22" s="103"/>
      <c r="H22" s="33">
        <f t="shared" si="0"/>
        <v>1</v>
      </c>
      <c r="J22" s="29"/>
      <c r="K22" s="79"/>
      <c r="L22" s="79"/>
      <c r="M22" s="29"/>
      <c r="N22" s="79"/>
      <c r="O22" s="79"/>
      <c r="R22"/>
      <c r="S22"/>
      <c r="T22"/>
      <c r="U22"/>
    </row>
    <row r="23" spans="1:21" s="28" customFormat="1" x14ac:dyDescent="0.25">
      <c r="A23" s="101"/>
      <c r="B23" s="102"/>
      <c r="C23" s="102"/>
      <c r="D23" s="102"/>
      <c r="E23" s="102"/>
      <c r="F23" s="103"/>
      <c r="G23" s="103"/>
      <c r="H23" s="33">
        <f t="shared" si="0"/>
        <v>1</v>
      </c>
      <c r="J23" s="29"/>
      <c r="K23" s="79"/>
      <c r="L23" s="79"/>
      <c r="M23" s="29"/>
      <c r="N23" s="79"/>
      <c r="O23" s="79"/>
      <c r="R23"/>
      <c r="S23"/>
      <c r="T23"/>
      <c r="U23"/>
    </row>
    <row r="24" spans="1:21" s="28" customFormat="1" x14ac:dyDescent="0.25">
      <c r="A24" s="101"/>
      <c r="B24" s="102"/>
      <c r="C24" s="102"/>
      <c r="D24" s="102"/>
      <c r="E24" s="102"/>
      <c r="F24" s="103"/>
      <c r="G24" s="103"/>
      <c r="H24" s="33">
        <f t="shared" si="0"/>
        <v>1</v>
      </c>
      <c r="J24" s="29"/>
      <c r="K24" s="79"/>
      <c r="L24" s="79"/>
      <c r="M24" s="29"/>
      <c r="N24" s="79"/>
      <c r="O24" s="79"/>
      <c r="R24"/>
      <c r="S24"/>
      <c r="T24"/>
      <c r="U24"/>
    </row>
    <row r="25" spans="1:21" s="28" customFormat="1" x14ac:dyDescent="0.25">
      <c r="A25" s="101"/>
      <c r="B25" s="102"/>
      <c r="C25" s="102"/>
      <c r="D25" s="102"/>
      <c r="E25" s="102"/>
      <c r="F25" s="103"/>
      <c r="G25" s="103"/>
      <c r="H25" s="33">
        <f t="shared" si="0"/>
        <v>1</v>
      </c>
      <c r="J25" s="29"/>
      <c r="K25" s="79"/>
      <c r="L25" s="79"/>
      <c r="M25" s="29"/>
      <c r="N25" s="79"/>
      <c r="O25" s="79"/>
      <c r="R25"/>
      <c r="S25"/>
      <c r="T25"/>
      <c r="U25"/>
    </row>
    <row r="26" spans="1:21" s="28" customFormat="1" x14ac:dyDescent="0.25">
      <c r="A26" s="101"/>
      <c r="B26" s="102"/>
      <c r="C26" s="102"/>
      <c r="D26" s="102"/>
      <c r="E26" s="102"/>
      <c r="F26" s="103"/>
      <c r="G26" s="103"/>
      <c r="H26" s="33">
        <f t="shared" si="0"/>
        <v>1</v>
      </c>
      <c r="J26" s="29"/>
      <c r="K26" s="79"/>
      <c r="L26" s="79"/>
      <c r="M26" s="29"/>
      <c r="N26" s="79"/>
      <c r="O26" s="79"/>
      <c r="R26"/>
      <c r="S26"/>
      <c r="T26"/>
      <c r="U26"/>
    </row>
    <row r="27" spans="1:21" s="28" customFormat="1" x14ac:dyDescent="0.25">
      <c r="A27" s="101"/>
      <c r="B27" s="102"/>
      <c r="C27" s="102"/>
      <c r="D27" s="102"/>
      <c r="E27" s="102"/>
      <c r="F27" s="103"/>
      <c r="G27" s="103"/>
      <c r="H27" s="33">
        <f t="shared" si="0"/>
        <v>1</v>
      </c>
      <c r="J27" s="29"/>
      <c r="K27" s="79"/>
      <c r="L27" s="79"/>
      <c r="M27" s="29"/>
      <c r="N27" s="79"/>
      <c r="O27" s="79"/>
      <c r="R27"/>
      <c r="S27"/>
      <c r="T27"/>
      <c r="U27"/>
    </row>
    <row r="28" spans="1:21" s="28" customFormat="1" x14ac:dyDescent="0.25">
      <c r="A28" s="101"/>
      <c r="B28" s="102"/>
      <c r="C28" s="102"/>
      <c r="D28" s="102"/>
      <c r="E28" s="102"/>
      <c r="F28" s="103"/>
      <c r="G28" s="103"/>
      <c r="H28" s="33">
        <f t="shared" si="0"/>
        <v>1</v>
      </c>
      <c r="J28" s="29"/>
      <c r="K28" s="79"/>
      <c r="L28" s="79"/>
      <c r="M28" s="29"/>
      <c r="N28" s="79"/>
      <c r="O28" s="79"/>
      <c r="R28"/>
      <c r="S28"/>
      <c r="T28"/>
      <c r="U28"/>
    </row>
    <row r="29" spans="1:21" s="28" customFormat="1" x14ac:dyDescent="0.25">
      <c r="A29" s="101"/>
      <c r="B29" s="102"/>
      <c r="C29" s="102"/>
      <c r="D29" s="102"/>
      <c r="E29" s="102"/>
      <c r="F29" s="103"/>
      <c r="G29" s="103"/>
      <c r="H29" s="33">
        <f t="shared" si="0"/>
        <v>1</v>
      </c>
      <c r="J29" s="29"/>
      <c r="K29" s="79"/>
      <c r="L29" s="79"/>
      <c r="M29" s="29"/>
      <c r="N29" s="79"/>
      <c r="O29" s="79"/>
      <c r="R29"/>
      <c r="S29"/>
      <c r="T29"/>
      <c r="U29"/>
    </row>
    <row r="30" spans="1:21" s="28" customFormat="1" x14ac:dyDescent="0.25">
      <c r="A30" s="101"/>
      <c r="B30" s="102"/>
      <c r="C30" s="102"/>
      <c r="D30" s="102"/>
      <c r="E30" s="102"/>
      <c r="F30" s="103"/>
      <c r="G30" s="103"/>
      <c r="H30" s="33">
        <f t="shared" si="0"/>
        <v>1</v>
      </c>
      <c r="J30" s="29"/>
      <c r="K30" s="79"/>
      <c r="L30" s="79"/>
      <c r="M30" s="29"/>
      <c r="N30" s="79"/>
      <c r="O30" s="79"/>
      <c r="R30"/>
      <c r="S30"/>
      <c r="T30"/>
      <c r="U30"/>
    </row>
    <row r="31" spans="1:21" s="28" customFormat="1" x14ac:dyDescent="0.25">
      <c r="A31" s="101"/>
      <c r="B31" s="102"/>
      <c r="C31" s="102"/>
      <c r="D31" s="102"/>
      <c r="E31" s="102"/>
      <c r="F31" s="103"/>
      <c r="G31" s="103"/>
      <c r="H31" s="33">
        <f t="shared" si="0"/>
        <v>1</v>
      </c>
      <c r="J31" s="29"/>
      <c r="K31" s="79"/>
      <c r="L31" s="79"/>
      <c r="M31" s="29"/>
      <c r="N31" s="79"/>
      <c r="O31" s="79"/>
      <c r="R31"/>
      <c r="S31"/>
      <c r="T31"/>
      <c r="U31"/>
    </row>
    <row r="32" spans="1:21" s="28" customFormat="1" x14ac:dyDescent="0.25">
      <c r="A32" s="101"/>
      <c r="B32" s="102"/>
      <c r="C32" s="102"/>
      <c r="D32" s="102"/>
      <c r="E32" s="102"/>
      <c r="F32" s="103"/>
      <c r="G32" s="103"/>
      <c r="H32" s="33">
        <f t="shared" si="0"/>
        <v>1</v>
      </c>
      <c r="J32" s="29"/>
      <c r="K32" s="79"/>
      <c r="L32" s="79"/>
      <c r="M32" s="29"/>
      <c r="N32" s="79"/>
      <c r="O32" s="79"/>
      <c r="R32"/>
      <c r="S32"/>
      <c r="T32"/>
      <c r="U32"/>
    </row>
    <row r="33" spans="1:15" s="28" customFormat="1" x14ac:dyDescent="0.25">
      <c r="A33" s="101"/>
      <c r="B33" s="102"/>
      <c r="C33" s="102"/>
      <c r="D33" s="102"/>
      <c r="E33" s="102"/>
      <c r="F33" s="103"/>
      <c r="G33" s="103"/>
      <c r="H33" s="33">
        <f t="shared" si="0"/>
        <v>1</v>
      </c>
      <c r="J33" s="29"/>
      <c r="K33" s="79"/>
      <c r="L33" s="79"/>
      <c r="M33" s="29"/>
      <c r="N33" s="79"/>
      <c r="O33" s="79"/>
    </row>
    <row r="34" spans="1:15" s="28" customFormat="1" x14ac:dyDescent="0.25">
      <c r="A34" s="101"/>
      <c r="B34" s="102"/>
      <c r="C34" s="102"/>
      <c r="D34" s="102"/>
      <c r="E34" s="102"/>
      <c r="F34" s="103"/>
      <c r="G34" s="103"/>
      <c r="H34" s="33">
        <f t="shared" si="0"/>
        <v>1</v>
      </c>
      <c r="J34" s="29"/>
      <c r="K34" s="79"/>
      <c r="L34" s="79"/>
      <c r="M34" s="29"/>
      <c r="N34" s="79"/>
      <c r="O34" s="79"/>
    </row>
    <row r="35" spans="1:15" s="28" customFormat="1" x14ac:dyDescent="0.25">
      <c r="A35" s="101"/>
      <c r="B35" s="102"/>
      <c r="C35" s="102"/>
      <c r="D35" s="102"/>
      <c r="E35" s="102"/>
      <c r="F35" s="103"/>
      <c r="G35" s="103"/>
      <c r="H35" s="33">
        <f t="shared" si="0"/>
        <v>1</v>
      </c>
      <c r="J35" s="29"/>
      <c r="K35" s="79"/>
      <c r="L35" s="79"/>
      <c r="M35" s="29"/>
      <c r="N35" s="79"/>
      <c r="O35" s="79"/>
    </row>
    <row r="36" spans="1:15" s="28" customFormat="1" x14ac:dyDescent="0.25">
      <c r="A36" s="101"/>
      <c r="B36" s="102"/>
      <c r="C36" s="102"/>
      <c r="D36" s="102"/>
      <c r="E36" s="102"/>
      <c r="F36" s="103"/>
      <c r="G36" s="103"/>
      <c r="H36" s="33">
        <f t="shared" si="0"/>
        <v>1</v>
      </c>
      <c r="J36" s="29"/>
      <c r="K36" s="79"/>
      <c r="L36" s="79"/>
      <c r="M36" s="29"/>
      <c r="N36" s="79"/>
      <c r="O36" s="79"/>
    </row>
    <row r="37" spans="1:15" s="28" customFormat="1" x14ac:dyDescent="0.25">
      <c r="A37" s="101"/>
      <c r="B37" s="102"/>
      <c r="C37" s="102"/>
      <c r="D37" s="102"/>
      <c r="E37" s="102"/>
      <c r="F37" s="103"/>
      <c r="G37" s="103"/>
      <c r="H37" s="33">
        <f t="shared" si="0"/>
        <v>1</v>
      </c>
      <c r="J37" s="29"/>
      <c r="K37" s="79"/>
      <c r="L37" s="79"/>
      <c r="M37" s="29"/>
      <c r="N37" s="79"/>
      <c r="O37" s="79"/>
    </row>
    <row r="38" spans="1:15" s="28" customFormat="1" x14ac:dyDescent="0.25">
      <c r="A38" s="101"/>
      <c r="B38" s="102"/>
      <c r="C38" s="102"/>
      <c r="D38" s="102"/>
      <c r="E38" s="102"/>
      <c r="F38" s="103"/>
      <c r="G38" s="103"/>
      <c r="H38" s="33">
        <f t="shared" si="0"/>
        <v>1</v>
      </c>
      <c r="J38" s="29"/>
      <c r="K38" s="79"/>
      <c r="L38" s="79"/>
      <c r="M38" s="29"/>
      <c r="N38" s="79"/>
      <c r="O38" s="79"/>
    </row>
    <row r="39" spans="1:15" s="28" customFormat="1" x14ac:dyDescent="0.25">
      <c r="A39" s="101"/>
      <c r="B39" s="102"/>
      <c r="C39" s="102"/>
      <c r="D39" s="102"/>
      <c r="E39" s="102"/>
      <c r="F39" s="103"/>
      <c r="G39" s="103"/>
      <c r="H39" s="33">
        <f t="shared" si="0"/>
        <v>1</v>
      </c>
      <c r="J39" s="29"/>
      <c r="K39" s="79"/>
      <c r="L39" s="79"/>
      <c r="M39" s="29"/>
      <c r="N39" s="79"/>
      <c r="O39" s="79"/>
    </row>
    <row r="40" spans="1:15" s="28" customFormat="1" x14ac:dyDescent="0.25">
      <c r="A40" s="101"/>
      <c r="B40" s="102"/>
      <c r="C40" s="102"/>
      <c r="D40" s="102"/>
      <c r="E40" s="102"/>
      <c r="F40" s="103"/>
      <c r="G40" s="103"/>
      <c r="H40" s="33">
        <f t="shared" si="0"/>
        <v>1</v>
      </c>
      <c r="J40" s="29"/>
      <c r="K40" s="79"/>
      <c r="L40" s="79"/>
      <c r="M40" s="29"/>
      <c r="N40" s="79"/>
      <c r="O40" s="79"/>
    </row>
    <row r="41" spans="1:15" s="28" customFormat="1" x14ac:dyDescent="0.25">
      <c r="A41" s="101"/>
      <c r="B41" s="102"/>
      <c r="C41" s="102"/>
      <c r="D41" s="102"/>
      <c r="E41" s="102"/>
      <c r="F41" s="103"/>
      <c r="G41" s="103"/>
      <c r="H41" s="33">
        <f t="shared" si="0"/>
        <v>1</v>
      </c>
      <c r="J41" s="29"/>
      <c r="K41" s="79"/>
      <c r="L41" s="79"/>
      <c r="M41" s="29"/>
      <c r="N41" s="79"/>
      <c r="O41" s="79"/>
    </row>
    <row r="42" spans="1:15" s="28" customFormat="1" x14ac:dyDescent="0.25">
      <c r="A42" s="101"/>
      <c r="B42" s="102"/>
      <c r="C42" s="102"/>
      <c r="D42" s="102"/>
      <c r="E42" s="102"/>
      <c r="F42" s="103"/>
      <c r="G42" s="103"/>
      <c r="H42" s="33">
        <f t="shared" si="0"/>
        <v>1</v>
      </c>
      <c r="J42" s="29"/>
      <c r="K42" s="79"/>
      <c r="L42" s="79"/>
      <c r="M42" s="29"/>
      <c r="N42" s="79"/>
      <c r="O42" s="79"/>
    </row>
    <row r="43" spans="1:15" s="28" customFormat="1" x14ac:dyDescent="0.25">
      <c r="A43" s="101"/>
      <c r="B43" s="102"/>
      <c r="C43" s="102"/>
      <c r="D43" s="102"/>
      <c r="E43" s="102"/>
      <c r="F43" s="103"/>
      <c r="G43" s="103"/>
      <c r="H43" s="33">
        <f t="shared" si="0"/>
        <v>1</v>
      </c>
      <c r="J43" s="29"/>
      <c r="K43" s="79"/>
      <c r="L43" s="79"/>
      <c r="M43" s="29"/>
      <c r="N43" s="79"/>
      <c r="O43" s="79"/>
    </row>
    <row r="44" spans="1:15" s="28" customFormat="1" x14ac:dyDescent="0.25">
      <c r="A44" s="101"/>
      <c r="B44" s="102"/>
      <c r="C44" s="102"/>
      <c r="D44" s="102"/>
      <c r="E44" s="102"/>
      <c r="F44" s="103"/>
      <c r="G44" s="103"/>
      <c r="H44" s="33">
        <f t="shared" si="0"/>
        <v>1</v>
      </c>
      <c r="J44" s="29"/>
      <c r="K44" s="79"/>
      <c r="L44" s="79"/>
      <c r="M44" s="29"/>
      <c r="N44" s="79"/>
      <c r="O44" s="79"/>
    </row>
    <row r="45" spans="1:15" s="28" customFormat="1" x14ac:dyDescent="0.25">
      <c r="A45" s="101"/>
      <c r="B45" s="102"/>
      <c r="C45" s="102"/>
      <c r="D45" s="102"/>
      <c r="E45" s="102"/>
      <c r="F45" s="103"/>
      <c r="G45" s="103"/>
      <c r="H45" s="33">
        <f t="shared" si="0"/>
        <v>1</v>
      </c>
      <c r="J45" s="29"/>
      <c r="K45" s="79"/>
      <c r="L45" s="79"/>
      <c r="M45" s="29"/>
      <c r="N45" s="79"/>
      <c r="O45" s="79"/>
    </row>
    <row r="46" spans="1:15" s="28" customFormat="1" x14ac:dyDescent="0.25">
      <c r="A46" s="101"/>
      <c r="B46" s="102"/>
      <c r="C46" s="102"/>
      <c r="D46" s="102"/>
      <c r="E46" s="102"/>
      <c r="F46" s="103"/>
      <c r="G46" s="103"/>
      <c r="H46" s="33">
        <f t="shared" si="0"/>
        <v>1</v>
      </c>
      <c r="J46" s="29"/>
      <c r="K46" s="79"/>
      <c r="L46" s="79"/>
      <c r="M46" s="29"/>
      <c r="N46" s="79"/>
      <c r="O46" s="79"/>
    </row>
    <row r="47" spans="1:15" s="28" customFormat="1" x14ac:dyDescent="0.25">
      <c r="A47" s="101"/>
      <c r="B47" s="102"/>
      <c r="C47" s="102"/>
      <c r="D47" s="102"/>
      <c r="E47" s="102"/>
      <c r="F47" s="103"/>
      <c r="G47" s="103"/>
      <c r="H47" s="33">
        <f t="shared" si="0"/>
        <v>1</v>
      </c>
      <c r="J47" s="29"/>
      <c r="K47" s="79"/>
      <c r="L47" s="79"/>
      <c r="M47" s="29"/>
      <c r="N47" s="79"/>
      <c r="O47" s="79"/>
    </row>
    <row r="48" spans="1:15" s="28" customFormat="1" x14ac:dyDescent="0.25">
      <c r="A48" s="101"/>
      <c r="B48" s="102"/>
      <c r="C48" s="102"/>
      <c r="D48" s="102"/>
      <c r="E48" s="102"/>
      <c r="F48" s="103"/>
      <c r="G48" s="103"/>
      <c r="H48" s="33">
        <f t="shared" si="0"/>
        <v>1</v>
      </c>
      <c r="J48" s="29"/>
      <c r="K48" s="79"/>
      <c r="L48" s="79"/>
      <c r="M48" s="29"/>
      <c r="N48" s="79"/>
      <c r="O48" s="79"/>
    </row>
    <row r="49" spans="1:15" s="28" customFormat="1" x14ac:dyDescent="0.25">
      <c r="A49" s="101"/>
      <c r="B49" s="102"/>
      <c r="C49" s="102"/>
      <c r="D49" s="102"/>
      <c r="E49" s="102"/>
      <c r="F49" s="103"/>
      <c r="G49" s="103"/>
      <c r="H49" s="33">
        <f t="shared" si="0"/>
        <v>1</v>
      </c>
      <c r="J49" s="29"/>
      <c r="K49" s="79"/>
      <c r="L49" s="79"/>
      <c r="M49" s="29"/>
      <c r="N49" s="79"/>
      <c r="O49" s="79"/>
    </row>
    <row r="50" spans="1:15" s="28" customFormat="1" x14ac:dyDescent="0.25">
      <c r="A50" s="101"/>
      <c r="B50" s="102"/>
      <c r="C50" s="102"/>
      <c r="D50" s="102"/>
      <c r="E50" s="102"/>
      <c r="F50" s="103"/>
      <c r="G50" s="103"/>
      <c r="H50" s="33">
        <f t="shared" si="0"/>
        <v>1</v>
      </c>
      <c r="J50" s="29"/>
      <c r="K50" s="79"/>
      <c r="L50" s="79"/>
      <c r="M50" s="29"/>
      <c r="N50" s="79"/>
      <c r="O50" s="79"/>
    </row>
    <row r="51" spans="1:15" s="28" customFormat="1" x14ac:dyDescent="0.25">
      <c r="A51" s="101"/>
      <c r="B51" s="102"/>
      <c r="C51" s="102"/>
      <c r="D51" s="102"/>
      <c r="E51" s="102"/>
      <c r="F51" s="103"/>
      <c r="G51" s="103"/>
      <c r="H51" s="33">
        <f t="shared" si="0"/>
        <v>1</v>
      </c>
      <c r="J51" s="29"/>
      <c r="K51" s="79"/>
      <c r="L51" s="79"/>
      <c r="M51" s="29"/>
      <c r="N51" s="79"/>
      <c r="O51" s="79"/>
    </row>
    <row r="52" spans="1:15" s="28" customFormat="1" x14ac:dyDescent="0.25">
      <c r="A52" s="101"/>
      <c r="B52" s="102"/>
      <c r="C52" s="102"/>
      <c r="D52" s="102"/>
      <c r="E52" s="102"/>
      <c r="F52" s="103"/>
      <c r="G52" s="103"/>
      <c r="H52" s="33">
        <f t="shared" si="0"/>
        <v>1</v>
      </c>
      <c r="J52" s="29"/>
      <c r="K52" s="79"/>
      <c r="L52" s="79"/>
      <c r="M52" s="29"/>
      <c r="N52" s="79"/>
      <c r="O52" s="79"/>
    </row>
    <row r="53" spans="1:15" s="28" customFormat="1" x14ac:dyDescent="0.25">
      <c r="A53" s="101"/>
      <c r="B53" s="102"/>
      <c r="C53" s="102"/>
      <c r="D53" s="102"/>
      <c r="E53" s="102"/>
      <c r="F53" s="103"/>
      <c r="G53" s="103"/>
      <c r="H53" s="33">
        <f t="shared" si="0"/>
        <v>1</v>
      </c>
      <c r="J53" s="29"/>
      <c r="K53" s="79"/>
      <c r="L53" s="79"/>
      <c r="M53" s="29"/>
      <c r="N53" s="79"/>
      <c r="O53" s="79"/>
    </row>
    <row r="54" spans="1:15" s="28" customFormat="1" x14ac:dyDescent="0.25">
      <c r="A54" s="101"/>
      <c r="B54" s="102"/>
      <c r="C54" s="102"/>
      <c r="D54" s="102"/>
      <c r="E54" s="102"/>
      <c r="F54" s="103"/>
      <c r="G54" s="103"/>
      <c r="H54" s="33">
        <f t="shared" si="0"/>
        <v>1</v>
      </c>
      <c r="J54" s="29"/>
      <c r="K54" s="79"/>
      <c r="L54" s="79"/>
      <c r="M54" s="29"/>
      <c r="N54" s="79"/>
      <c r="O54" s="79"/>
    </row>
    <row r="55" spans="1:15" s="28" customFormat="1" x14ac:dyDescent="0.25">
      <c r="A55" s="101"/>
      <c r="B55" s="102"/>
      <c r="C55" s="102"/>
      <c r="D55" s="102"/>
      <c r="E55" s="102"/>
      <c r="F55" s="103"/>
      <c r="G55" s="103"/>
      <c r="H55" s="33">
        <f t="shared" si="0"/>
        <v>1</v>
      </c>
      <c r="J55" s="29"/>
      <c r="K55" s="79"/>
      <c r="L55" s="79"/>
      <c r="M55" s="29"/>
      <c r="N55" s="79"/>
      <c r="O55" s="79"/>
    </row>
    <row r="56" spans="1:15" s="28" customFormat="1" x14ac:dyDescent="0.25">
      <c r="A56" s="101"/>
      <c r="B56" s="102"/>
      <c r="C56" s="102"/>
      <c r="D56" s="102"/>
      <c r="E56" s="102"/>
      <c r="F56" s="103"/>
      <c r="G56" s="103"/>
      <c r="H56" s="33">
        <f t="shared" si="0"/>
        <v>1</v>
      </c>
      <c r="J56" s="29"/>
      <c r="K56" s="79"/>
      <c r="L56" s="79"/>
      <c r="M56" s="29"/>
      <c r="N56" s="79"/>
      <c r="O56" s="79"/>
    </row>
    <row r="57" spans="1:15" s="28" customFormat="1" x14ac:dyDescent="0.25">
      <c r="A57" s="101"/>
      <c r="B57" s="102"/>
      <c r="C57" s="102"/>
      <c r="D57" s="102"/>
      <c r="E57" s="102"/>
      <c r="F57" s="103"/>
      <c r="G57" s="103"/>
      <c r="H57" s="33">
        <f t="shared" si="0"/>
        <v>1</v>
      </c>
      <c r="J57" s="29"/>
      <c r="K57" s="79"/>
      <c r="L57" s="79"/>
      <c r="M57" s="29"/>
      <c r="N57" s="79"/>
      <c r="O57" s="79"/>
    </row>
    <row r="58" spans="1:15" s="28" customFormat="1" x14ac:dyDescent="0.25">
      <c r="A58" s="101"/>
      <c r="B58" s="102"/>
      <c r="C58" s="102"/>
      <c r="D58" s="102"/>
      <c r="E58" s="102"/>
      <c r="F58" s="103"/>
      <c r="G58" s="103"/>
      <c r="H58" s="33">
        <f t="shared" si="0"/>
        <v>1</v>
      </c>
      <c r="J58" s="29"/>
      <c r="K58" s="79"/>
      <c r="L58" s="79"/>
      <c r="M58" s="29"/>
      <c r="N58" s="79"/>
      <c r="O58" s="79"/>
    </row>
    <row r="59" spans="1:15" s="28" customFormat="1" x14ac:dyDescent="0.25">
      <c r="A59" s="101"/>
      <c r="B59" s="102"/>
      <c r="C59" s="102"/>
      <c r="D59" s="102"/>
      <c r="E59" s="102"/>
      <c r="F59" s="103"/>
      <c r="G59" s="103"/>
      <c r="H59" s="33">
        <f t="shared" si="0"/>
        <v>1</v>
      </c>
      <c r="J59" s="29"/>
      <c r="K59" s="79"/>
      <c r="L59" s="79"/>
      <c r="M59" s="29"/>
      <c r="N59" s="79"/>
      <c r="O59" s="79"/>
    </row>
    <row r="60" spans="1:15" s="28" customFormat="1" x14ac:dyDescent="0.25">
      <c r="A60" s="101"/>
      <c r="B60" s="102"/>
      <c r="C60" s="102"/>
      <c r="D60" s="102"/>
      <c r="E60" s="102"/>
      <c r="F60" s="103"/>
      <c r="G60" s="103"/>
      <c r="H60" s="33">
        <f t="shared" si="0"/>
        <v>1</v>
      </c>
      <c r="J60" s="29"/>
      <c r="K60" s="79"/>
      <c r="L60" s="79"/>
      <c r="M60" s="29"/>
      <c r="N60" s="79"/>
      <c r="O60" s="79"/>
    </row>
    <row r="61" spans="1:15" s="28" customFormat="1" x14ac:dyDescent="0.25">
      <c r="A61" s="101"/>
      <c r="B61" s="102"/>
      <c r="C61" s="102"/>
      <c r="D61" s="102"/>
      <c r="E61" s="102"/>
      <c r="F61" s="103"/>
      <c r="G61" s="103"/>
      <c r="H61" s="33">
        <f t="shared" si="0"/>
        <v>1</v>
      </c>
      <c r="J61" s="29"/>
      <c r="K61" s="79"/>
      <c r="L61" s="79"/>
      <c r="M61" s="29"/>
      <c r="N61" s="79"/>
      <c r="O61" s="79"/>
    </row>
    <row r="62" spans="1:15" s="28" customFormat="1" x14ac:dyDescent="0.25">
      <c r="A62" s="101"/>
      <c r="B62" s="102"/>
      <c r="C62" s="102"/>
      <c r="D62" s="102"/>
      <c r="E62" s="102"/>
      <c r="F62" s="103"/>
      <c r="G62" s="103"/>
      <c r="H62" s="33">
        <f t="shared" si="0"/>
        <v>1</v>
      </c>
      <c r="J62" s="29"/>
      <c r="K62" s="79"/>
      <c r="L62" s="79"/>
      <c r="M62" s="29"/>
      <c r="N62" s="79"/>
      <c r="O62" s="79"/>
    </row>
    <row r="63" spans="1:15" s="28" customFormat="1" x14ac:dyDescent="0.25">
      <c r="A63" s="101"/>
      <c r="B63" s="102"/>
      <c r="C63" s="102"/>
      <c r="D63" s="102"/>
      <c r="E63" s="102"/>
      <c r="F63" s="103"/>
      <c r="G63" s="103"/>
      <c r="H63" s="33">
        <f t="shared" si="0"/>
        <v>1</v>
      </c>
      <c r="J63" s="29"/>
      <c r="K63" s="79"/>
      <c r="L63" s="79"/>
      <c r="M63" s="29"/>
      <c r="N63" s="79"/>
      <c r="O63" s="79"/>
    </row>
    <row r="64" spans="1:15" s="28" customFormat="1" x14ac:dyDescent="0.25">
      <c r="A64" s="101"/>
      <c r="B64" s="102"/>
      <c r="C64" s="102"/>
      <c r="D64" s="102"/>
      <c r="E64" s="102"/>
      <c r="F64" s="103"/>
      <c r="G64" s="103"/>
      <c r="H64" s="33">
        <f t="shared" si="0"/>
        <v>1</v>
      </c>
      <c r="J64" s="29"/>
      <c r="K64" s="79"/>
      <c r="L64" s="79"/>
      <c r="M64" s="29"/>
      <c r="N64" s="79"/>
      <c r="O64" s="79"/>
    </row>
    <row r="65" spans="1:15" s="28" customFormat="1" x14ac:dyDescent="0.25">
      <c r="A65" s="101"/>
      <c r="B65" s="102"/>
      <c r="C65" s="102"/>
      <c r="D65" s="102"/>
      <c r="E65" s="102"/>
      <c r="F65" s="103"/>
      <c r="G65" s="103"/>
      <c r="H65" s="33">
        <f t="shared" si="0"/>
        <v>1</v>
      </c>
      <c r="J65" s="29"/>
      <c r="K65" s="79"/>
      <c r="L65" s="79"/>
      <c r="M65" s="29"/>
      <c r="N65" s="79"/>
      <c r="O65" s="79"/>
    </row>
    <row r="66" spans="1:15" s="28" customFormat="1" x14ac:dyDescent="0.25">
      <c r="A66" s="101"/>
      <c r="B66" s="102"/>
      <c r="C66" s="102"/>
      <c r="D66" s="102"/>
      <c r="E66" s="102"/>
      <c r="F66" s="103"/>
      <c r="G66" s="103"/>
      <c r="H66" s="33">
        <f t="shared" si="0"/>
        <v>1</v>
      </c>
      <c r="J66" s="29"/>
      <c r="K66" s="79"/>
      <c r="L66" s="79"/>
      <c r="M66" s="29"/>
      <c r="N66" s="79"/>
      <c r="O66" s="79"/>
    </row>
    <row r="67" spans="1:15" s="28" customFormat="1" x14ac:dyDescent="0.25">
      <c r="A67" s="101"/>
      <c r="B67" s="102"/>
      <c r="C67" s="102"/>
      <c r="D67" s="102"/>
      <c r="E67" s="102"/>
      <c r="F67" s="103"/>
      <c r="G67" s="103"/>
      <c r="H67" s="33">
        <f t="shared" si="0"/>
        <v>1</v>
      </c>
      <c r="J67" s="29"/>
      <c r="K67" s="79"/>
      <c r="L67" s="79"/>
      <c r="M67" s="29"/>
      <c r="N67" s="79"/>
      <c r="O67" s="79"/>
    </row>
    <row r="68" spans="1:15" s="28" customFormat="1" x14ac:dyDescent="0.25">
      <c r="A68" s="101"/>
      <c r="B68" s="102"/>
      <c r="C68" s="102"/>
      <c r="D68" s="102"/>
      <c r="E68" s="102"/>
      <c r="F68" s="103"/>
      <c r="G68" s="103"/>
      <c r="H68" s="33">
        <f t="shared" ref="H68:H131" si="1">H67</f>
        <v>1</v>
      </c>
      <c r="J68" s="29"/>
      <c r="K68" s="79"/>
      <c r="L68" s="79"/>
      <c r="M68" s="29"/>
      <c r="N68" s="79"/>
      <c r="O68" s="79"/>
    </row>
    <row r="69" spans="1:15" s="28" customFormat="1" x14ac:dyDescent="0.25">
      <c r="A69" s="101"/>
      <c r="B69" s="102"/>
      <c r="C69" s="102"/>
      <c r="D69" s="102"/>
      <c r="E69" s="102"/>
      <c r="F69" s="103"/>
      <c r="G69" s="103"/>
      <c r="H69" s="33">
        <f t="shared" si="1"/>
        <v>1</v>
      </c>
      <c r="J69" s="29"/>
      <c r="K69" s="79"/>
      <c r="L69" s="79"/>
      <c r="M69" s="29"/>
      <c r="N69" s="79"/>
      <c r="O69" s="79"/>
    </row>
    <row r="70" spans="1:15" s="28" customFormat="1" x14ac:dyDescent="0.25">
      <c r="A70" s="101"/>
      <c r="B70" s="102"/>
      <c r="C70" s="102"/>
      <c r="D70" s="102"/>
      <c r="E70" s="102"/>
      <c r="F70" s="103"/>
      <c r="G70" s="103"/>
      <c r="H70" s="33">
        <f t="shared" si="1"/>
        <v>1</v>
      </c>
      <c r="J70" s="29"/>
      <c r="K70" s="79"/>
      <c r="L70" s="79"/>
      <c r="M70" s="29"/>
      <c r="N70" s="79"/>
      <c r="O70" s="79"/>
    </row>
    <row r="71" spans="1:15" s="28" customFormat="1" x14ac:dyDescent="0.25">
      <c r="A71" s="101"/>
      <c r="B71" s="102"/>
      <c r="C71" s="102"/>
      <c r="D71" s="102"/>
      <c r="E71" s="102"/>
      <c r="F71" s="103"/>
      <c r="G71" s="103"/>
      <c r="H71" s="33">
        <f t="shared" si="1"/>
        <v>1</v>
      </c>
      <c r="J71" s="29"/>
      <c r="K71" s="79"/>
      <c r="L71" s="79"/>
      <c r="M71" s="29"/>
      <c r="N71" s="79"/>
      <c r="O71" s="79"/>
    </row>
    <row r="72" spans="1:15" s="28" customFormat="1" x14ac:dyDescent="0.25">
      <c r="A72" s="101"/>
      <c r="B72" s="102"/>
      <c r="C72" s="102"/>
      <c r="D72" s="102"/>
      <c r="E72" s="102"/>
      <c r="F72" s="103"/>
      <c r="G72" s="103"/>
      <c r="H72" s="33">
        <f t="shared" si="1"/>
        <v>1</v>
      </c>
      <c r="J72" s="29"/>
      <c r="K72" s="79"/>
      <c r="L72" s="79"/>
      <c r="M72" s="29"/>
      <c r="N72" s="79"/>
      <c r="O72" s="79"/>
    </row>
    <row r="73" spans="1:15" s="28" customFormat="1" x14ac:dyDescent="0.25">
      <c r="A73" s="101"/>
      <c r="B73" s="102"/>
      <c r="C73" s="102"/>
      <c r="D73" s="102"/>
      <c r="E73" s="102"/>
      <c r="F73" s="103"/>
      <c r="G73" s="103"/>
      <c r="H73" s="33">
        <f t="shared" si="1"/>
        <v>1</v>
      </c>
      <c r="J73" s="29"/>
      <c r="K73" s="79"/>
      <c r="L73" s="79"/>
      <c r="M73" s="29"/>
      <c r="N73" s="79"/>
      <c r="O73" s="79"/>
    </row>
    <row r="74" spans="1:15" s="28" customFormat="1" x14ac:dyDescent="0.25">
      <c r="A74" s="101"/>
      <c r="B74" s="102"/>
      <c r="C74" s="102"/>
      <c r="D74" s="102"/>
      <c r="E74" s="102"/>
      <c r="F74" s="103"/>
      <c r="G74" s="103"/>
      <c r="H74" s="33">
        <f t="shared" si="1"/>
        <v>1</v>
      </c>
      <c r="J74" s="29"/>
      <c r="K74" s="79"/>
      <c r="L74" s="79"/>
      <c r="M74" s="29"/>
      <c r="N74" s="79"/>
      <c r="O74" s="79"/>
    </row>
    <row r="75" spans="1:15" s="28" customFormat="1" x14ac:dyDescent="0.25">
      <c r="A75" s="101"/>
      <c r="B75" s="102"/>
      <c r="C75" s="102"/>
      <c r="D75" s="102"/>
      <c r="E75" s="102"/>
      <c r="F75" s="103"/>
      <c r="G75" s="103"/>
      <c r="H75" s="33">
        <f t="shared" si="1"/>
        <v>1</v>
      </c>
      <c r="J75" s="29"/>
      <c r="K75" s="79"/>
      <c r="L75" s="79"/>
      <c r="M75" s="29"/>
      <c r="N75" s="79"/>
      <c r="O75" s="79"/>
    </row>
    <row r="76" spans="1:15" s="28" customFormat="1" x14ac:dyDescent="0.25">
      <c r="A76" s="101"/>
      <c r="B76" s="102"/>
      <c r="C76" s="102"/>
      <c r="D76" s="102"/>
      <c r="E76" s="102"/>
      <c r="F76" s="103"/>
      <c r="G76" s="103"/>
      <c r="H76" s="33">
        <f t="shared" si="1"/>
        <v>1</v>
      </c>
      <c r="J76" s="29"/>
      <c r="K76" s="79"/>
      <c r="L76" s="79"/>
      <c r="M76" s="29"/>
      <c r="N76" s="79"/>
      <c r="O76" s="79"/>
    </row>
    <row r="77" spans="1:15" s="28" customFormat="1" x14ac:dyDescent="0.25">
      <c r="A77" s="101"/>
      <c r="B77" s="102"/>
      <c r="C77" s="102"/>
      <c r="D77" s="102"/>
      <c r="E77" s="102"/>
      <c r="F77" s="103"/>
      <c r="G77" s="103"/>
      <c r="H77" s="33">
        <f t="shared" si="1"/>
        <v>1</v>
      </c>
      <c r="J77" s="29"/>
      <c r="K77" s="79"/>
      <c r="L77" s="79"/>
      <c r="M77" s="29"/>
      <c r="N77" s="79"/>
      <c r="O77" s="79"/>
    </row>
    <row r="78" spans="1:15" s="28" customFormat="1" x14ac:dyDescent="0.25">
      <c r="A78" s="101"/>
      <c r="B78" s="102"/>
      <c r="C78" s="102"/>
      <c r="D78" s="102"/>
      <c r="E78" s="102"/>
      <c r="F78" s="103"/>
      <c r="G78" s="103"/>
      <c r="H78" s="33">
        <f t="shared" si="1"/>
        <v>1</v>
      </c>
      <c r="J78" s="29"/>
      <c r="K78" s="79"/>
      <c r="L78" s="79"/>
      <c r="M78" s="29"/>
      <c r="N78" s="79"/>
      <c r="O78" s="79"/>
    </row>
    <row r="79" spans="1:15" s="28" customFormat="1" x14ac:dyDescent="0.25">
      <c r="A79" s="101"/>
      <c r="B79" s="102"/>
      <c r="C79" s="102"/>
      <c r="D79" s="102"/>
      <c r="E79" s="102"/>
      <c r="F79" s="103"/>
      <c r="G79" s="103"/>
      <c r="H79" s="33">
        <f t="shared" si="1"/>
        <v>1</v>
      </c>
      <c r="J79" s="29"/>
      <c r="K79" s="79"/>
      <c r="L79" s="79"/>
      <c r="M79" s="29"/>
      <c r="N79" s="79"/>
      <c r="O79" s="79"/>
    </row>
    <row r="80" spans="1:15" s="28" customFormat="1" x14ac:dyDescent="0.25">
      <c r="A80" s="101"/>
      <c r="B80" s="102"/>
      <c r="C80" s="102"/>
      <c r="D80" s="102"/>
      <c r="E80" s="102"/>
      <c r="F80" s="103"/>
      <c r="G80" s="103"/>
      <c r="H80" s="33">
        <f t="shared" si="1"/>
        <v>1</v>
      </c>
      <c r="J80" s="29"/>
      <c r="K80" s="79"/>
      <c r="L80" s="79"/>
      <c r="M80" s="29"/>
      <c r="N80" s="79"/>
      <c r="O80" s="79"/>
    </row>
    <row r="81" spans="1:15" s="28" customFormat="1" x14ac:dyDescent="0.25">
      <c r="A81" s="101"/>
      <c r="B81" s="102"/>
      <c r="C81" s="102"/>
      <c r="D81" s="102"/>
      <c r="E81" s="102"/>
      <c r="F81" s="103"/>
      <c r="G81" s="103"/>
      <c r="H81" s="33">
        <f t="shared" si="1"/>
        <v>1</v>
      </c>
      <c r="J81" s="29"/>
      <c r="K81" s="79"/>
      <c r="L81" s="79"/>
      <c r="M81" s="29"/>
      <c r="N81" s="79"/>
      <c r="O81" s="79"/>
    </row>
    <row r="82" spans="1:15" s="28" customFormat="1" x14ac:dyDescent="0.25">
      <c r="A82" s="101"/>
      <c r="B82" s="102"/>
      <c r="C82" s="102"/>
      <c r="D82" s="102"/>
      <c r="E82" s="102"/>
      <c r="F82" s="103"/>
      <c r="G82" s="103"/>
      <c r="H82" s="33">
        <f t="shared" si="1"/>
        <v>1</v>
      </c>
      <c r="J82" s="29"/>
      <c r="K82" s="79"/>
      <c r="L82" s="79"/>
      <c r="M82" s="29"/>
      <c r="N82" s="79"/>
      <c r="O82" s="79"/>
    </row>
    <row r="83" spans="1:15" s="28" customFormat="1" x14ac:dyDescent="0.25">
      <c r="A83" s="101"/>
      <c r="B83" s="102"/>
      <c r="C83" s="102"/>
      <c r="D83" s="102"/>
      <c r="E83" s="102"/>
      <c r="F83" s="103"/>
      <c r="G83" s="103"/>
      <c r="H83" s="33">
        <f t="shared" si="1"/>
        <v>1</v>
      </c>
      <c r="J83" s="29"/>
      <c r="K83" s="79"/>
      <c r="L83" s="79"/>
      <c r="M83" s="29"/>
      <c r="N83" s="79"/>
      <c r="O83" s="79"/>
    </row>
    <row r="84" spans="1:15" s="28" customFormat="1" x14ac:dyDescent="0.25">
      <c r="A84" s="101"/>
      <c r="B84" s="102"/>
      <c r="C84" s="102"/>
      <c r="D84" s="102"/>
      <c r="E84" s="102"/>
      <c r="F84" s="103"/>
      <c r="G84" s="103"/>
      <c r="H84" s="33">
        <f t="shared" si="1"/>
        <v>1</v>
      </c>
      <c r="J84" s="29"/>
      <c r="K84" s="79"/>
      <c r="L84" s="79"/>
      <c r="M84" s="29"/>
      <c r="N84" s="79"/>
      <c r="O84" s="79"/>
    </row>
    <row r="85" spans="1:15" s="28" customFormat="1" x14ac:dyDescent="0.25">
      <c r="A85" s="101"/>
      <c r="B85" s="102"/>
      <c r="C85" s="102"/>
      <c r="D85" s="102"/>
      <c r="E85" s="102"/>
      <c r="F85" s="103"/>
      <c r="G85" s="103"/>
      <c r="H85" s="33">
        <f t="shared" si="1"/>
        <v>1</v>
      </c>
      <c r="J85" s="29"/>
      <c r="K85" s="79"/>
      <c r="L85" s="79"/>
      <c r="M85" s="29"/>
      <c r="N85" s="79"/>
      <c r="O85" s="79"/>
    </row>
    <row r="86" spans="1:15" s="28" customFormat="1" x14ac:dyDescent="0.25">
      <c r="A86" s="101"/>
      <c r="B86" s="102"/>
      <c r="C86" s="102"/>
      <c r="D86" s="102"/>
      <c r="E86" s="102"/>
      <c r="F86" s="103"/>
      <c r="G86" s="103"/>
      <c r="H86" s="33">
        <f t="shared" si="1"/>
        <v>1</v>
      </c>
      <c r="J86" s="29"/>
      <c r="K86" s="79"/>
      <c r="L86" s="79"/>
      <c r="M86" s="29"/>
      <c r="N86" s="79"/>
      <c r="O86" s="79"/>
    </row>
    <row r="87" spans="1:15" s="28" customFormat="1" x14ac:dyDescent="0.25">
      <c r="A87" s="101"/>
      <c r="B87" s="102"/>
      <c r="C87" s="102"/>
      <c r="D87" s="102"/>
      <c r="E87" s="102"/>
      <c r="F87" s="103"/>
      <c r="G87" s="103"/>
      <c r="H87" s="33">
        <f t="shared" si="1"/>
        <v>1</v>
      </c>
      <c r="J87" s="29"/>
      <c r="K87" s="79"/>
      <c r="L87" s="79"/>
      <c r="M87" s="29"/>
      <c r="N87" s="79"/>
      <c r="O87" s="79"/>
    </row>
    <row r="88" spans="1:15" s="28" customFormat="1" x14ac:dyDescent="0.25">
      <c r="A88" s="101"/>
      <c r="B88" s="102"/>
      <c r="C88" s="102"/>
      <c r="D88" s="102"/>
      <c r="E88" s="102"/>
      <c r="F88" s="103"/>
      <c r="G88" s="103"/>
      <c r="H88" s="33">
        <f t="shared" si="1"/>
        <v>1</v>
      </c>
      <c r="J88" s="29"/>
      <c r="K88" s="79"/>
      <c r="L88" s="79"/>
      <c r="M88" s="29"/>
      <c r="N88" s="79"/>
      <c r="O88" s="79"/>
    </row>
    <row r="89" spans="1:15" s="28" customFormat="1" x14ac:dyDescent="0.25">
      <c r="A89" s="101"/>
      <c r="B89" s="102"/>
      <c r="C89" s="102"/>
      <c r="D89" s="102"/>
      <c r="E89" s="102"/>
      <c r="F89" s="103"/>
      <c r="G89" s="103"/>
      <c r="H89" s="33">
        <f t="shared" si="1"/>
        <v>1</v>
      </c>
      <c r="J89" s="29"/>
      <c r="K89" s="79"/>
      <c r="L89" s="79"/>
      <c r="M89" s="29"/>
      <c r="N89" s="79"/>
      <c r="O89" s="79"/>
    </row>
    <row r="90" spans="1:15" s="28" customFormat="1" x14ac:dyDescent="0.25">
      <c r="A90" s="101"/>
      <c r="B90" s="102"/>
      <c r="C90" s="102"/>
      <c r="D90" s="102"/>
      <c r="E90" s="102"/>
      <c r="F90" s="103"/>
      <c r="G90" s="103"/>
      <c r="H90" s="33">
        <f t="shared" si="1"/>
        <v>1</v>
      </c>
      <c r="J90" s="29"/>
      <c r="K90" s="79"/>
      <c r="L90" s="79"/>
      <c r="M90" s="29"/>
      <c r="N90" s="79"/>
      <c r="O90" s="79"/>
    </row>
    <row r="91" spans="1:15" s="28" customFormat="1" x14ac:dyDescent="0.25">
      <c r="A91" s="101"/>
      <c r="B91" s="102"/>
      <c r="C91" s="102"/>
      <c r="D91" s="102"/>
      <c r="E91" s="102"/>
      <c r="F91" s="103"/>
      <c r="G91" s="103"/>
      <c r="H91" s="33">
        <f t="shared" si="1"/>
        <v>1</v>
      </c>
      <c r="J91" s="29"/>
      <c r="K91" s="79"/>
      <c r="L91" s="79"/>
      <c r="M91" s="29"/>
      <c r="N91" s="79"/>
      <c r="O91" s="79"/>
    </row>
    <row r="92" spans="1:15" s="28" customFormat="1" x14ac:dyDescent="0.25">
      <c r="A92" s="101"/>
      <c r="B92" s="102"/>
      <c r="C92" s="102"/>
      <c r="D92" s="102"/>
      <c r="E92" s="102"/>
      <c r="F92" s="103"/>
      <c r="G92" s="103"/>
      <c r="H92" s="33">
        <f t="shared" si="1"/>
        <v>1</v>
      </c>
      <c r="J92" s="29"/>
      <c r="K92" s="79"/>
      <c r="L92" s="79"/>
      <c r="M92" s="29"/>
      <c r="N92" s="79"/>
      <c r="O92" s="79"/>
    </row>
    <row r="93" spans="1:15" s="28" customFormat="1" x14ac:dyDescent="0.25">
      <c r="A93" s="101"/>
      <c r="B93" s="102"/>
      <c r="C93" s="102"/>
      <c r="D93" s="102"/>
      <c r="E93" s="102"/>
      <c r="F93" s="103"/>
      <c r="G93" s="103"/>
      <c r="H93" s="33">
        <f t="shared" si="1"/>
        <v>1</v>
      </c>
      <c r="J93" s="29"/>
      <c r="K93" s="79"/>
      <c r="L93" s="79"/>
      <c r="M93" s="29"/>
      <c r="N93" s="79"/>
      <c r="O93" s="79"/>
    </row>
    <row r="94" spans="1:15" s="28" customFormat="1" x14ac:dyDescent="0.25">
      <c r="A94" s="101"/>
      <c r="B94" s="102"/>
      <c r="C94" s="102"/>
      <c r="D94" s="102"/>
      <c r="E94" s="102"/>
      <c r="F94" s="103"/>
      <c r="G94" s="103"/>
      <c r="H94" s="33">
        <f t="shared" si="1"/>
        <v>1</v>
      </c>
      <c r="J94" s="29"/>
      <c r="K94" s="79"/>
      <c r="L94" s="79"/>
      <c r="M94" s="29"/>
      <c r="N94" s="79"/>
      <c r="O94" s="79"/>
    </row>
    <row r="95" spans="1:15" s="28" customFormat="1" x14ac:dyDescent="0.25">
      <c r="A95" s="101"/>
      <c r="B95" s="102"/>
      <c r="C95" s="102"/>
      <c r="D95" s="102"/>
      <c r="E95" s="102"/>
      <c r="F95" s="103"/>
      <c r="G95" s="103"/>
      <c r="H95" s="33">
        <f t="shared" si="1"/>
        <v>1</v>
      </c>
      <c r="J95" s="29"/>
      <c r="K95" s="79"/>
      <c r="L95" s="79"/>
      <c r="M95" s="29"/>
      <c r="N95" s="79"/>
      <c r="O95" s="79"/>
    </row>
    <row r="96" spans="1:15" s="28" customFormat="1" x14ac:dyDescent="0.25">
      <c r="A96" s="101"/>
      <c r="B96" s="102"/>
      <c r="C96" s="102"/>
      <c r="D96" s="102"/>
      <c r="E96" s="102"/>
      <c r="F96" s="103"/>
      <c r="G96" s="103"/>
      <c r="H96" s="33">
        <f t="shared" si="1"/>
        <v>1</v>
      </c>
      <c r="J96" s="29"/>
      <c r="K96" s="79"/>
      <c r="L96" s="79"/>
      <c r="M96" s="29"/>
      <c r="N96" s="79"/>
      <c r="O96" s="79"/>
    </row>
    <row r="97" spans="1:15" s="28" customFormat="1" x14ac:dyDescent="0.25">
      <c r="A97" s="101"/>
      <c r="B97" s="102"/>
      <c r="C97" s="102"/>
      <c r="D97" s="102"/>
      <c r="E97" s="102"/>
      <c r="F97" s="103"/>
      <c r="G97" s="103"/>
      <c r="H97" s="33">
        <f t="shared" si="1"/>
        <v>1</v>
      </c>
      <c r="J97" s="29"/>
      <c r="K97" s="79"/>
      <c r="L97" s="79"/>
      <c r="M97" s="29"/>
      <c r="N97" s="79"/>
      <c r="O97" s="79"/>
    </row>
    <row r="98" spans="1:15" s="28" customFormat="1" x14ac:dyDescent="0.25">
      <c r="A98" s="101"/>
      <c r="B98" s="102"/>
      <c r="C98" s="102"/>
      <c r="D98" s="102"/>
      <c r="E98" s="102"/>
      <c r="F98" s="103"/>
      <c r="G98" s="103"/>
      <c r="H98" s="33">
        <f t="shared" si="1"/>
        <v>1</v>
      </c>
      <c r="J98" s="29"/>
      <c r="K98" s="79"/>
      <c r="L98" s="79"/>
      <c r="M98" s="29"/>
      <c r="N98" s="79"/>
      <c r="O98" s="79"/>
    </row>
    <row r="99" spans="1:15" s="28" customFormat="1" x14ac:dyDescent="0.25">
      <c r="A99" s="101"/>
      <c r="B99" s="102"/>
      <c r="C99" s="102"/>
      <c r="D99" s="102"/>
      <c r="E99" s="102"/>
      <c r="F99" s="103"/>
      <c r="G99" s="103"/>
      <c r="H99" s="33">
        <f t="shared" si="1"/>
        <v>1</v>
      </c>
      <c r="J99" s="29"/>
      <c r="K99" s="79"/>
      <c r="L99" s="79"/>
      <c r="M99" s="29"/>
      <c r="N99" s="79"/>
      <c r="O99" s="79"/>
    </row>
    <row r="100" spans="1:15" s="28" customFormat="1" x14ac:dyDescent="0.25">
      <c r="A100" s="101"/>
      <c r="B100" s="102"/>
      <c r="C100" s="102"/>
      <c r="D100" s="102"/>
      <c r="E100" s="102"/>
      <c r="F100" s="103"/>
      <c r="G100" s="103"/>
      <c r="H100" s="33">
        <f t="shared" si="1"/>
        <v>1</v>
      </c>
      <c r="J100" s="29"/>
      <c r="K100" s="79"/>
      <c r="L100" s="79"/>
      <c r="M100" s="29"/>
      <c r="N100" s="79"/>
      <c r="O100" s="79"/>
    </row>
    <row r="101" spans="1:15" s="28" customFormat="1" x14ac:dyDescent="0.25">
      <c r="A101" s="101"/>
      <c r="B101" s="102"/>
      <c r="C101" s="102"/>
      <c r="D101" s="102"/>
      <c r="E101" s="102"/>
      <c r="F101" s="103"/>
      <c r="G101" s="103"/>
      <c r="H101" s="33">
        <f t="shared" si="1"/>
        <v>1</v>
      </c>
      <c r="J101" s="29"/>
      <c r="K101" s="79"/>
      <c r="L101" s="79"/>
      <c r="M101" s="29"/>
      <c r="N101" s="79"/>
      <c r="O101" s="79"/>
    </row>
    <row r="102" spans="1:15" s="28" customFormat="1" x14ac:dyDescent="0.25">
      <c r="A102" s="101"/>
      <c r="B102" s="102"/>
      <c r="C102" s="102"/>
      <c r="D102" s="102"/>
      <c r="E102" s="102"/>
      <c r="F102" s="103"/>
      <c r="G102" s="103"/>
      <c r="H102" s="33">
        <f t="shared" si="1"/>
        <v>1</v>
      </c>
      <c r="J102" s="29"/>
      <c r="K102" s="79"/>
      <c r="L102" s="79"/>
      <c r="M102" s="29"/>
      <c r="N102" s="79"/>
      <c r="O102" s="79"/>
    </row>
    <row r="103" spans="1:15" s="28" customFormat="1" x14ac:dyDescent="0.25">
      <c r="A103" s="101"/>
      <c r="B103" s="102"/>
      <c r="C103" s="102"/>
      <c r="D103" s="102"/>
      <c r="E103" s="102"/>
      <c r="F103" s="103"/>
      <c r="G103" s="103"/>
      <c r="H103" s="33">
        <f t="shared" si="1"/>
        <v>1</v>
      </c>
      <c r="J103" s="29"/>
      <c r="K103" s="79"/>
      <c r="L103" s="79"/>
      <c r="M103" s="29"/>
      <c r="N103" s="79"/>
      <c r="O103" s="79"/>
    </row>
    <row r="104" spans="1:15" s="28" customFormat="1" x14ac:dyDescent="0.25">
      <c r="A104" s="101"/>
      <c r="B104" s="102"/>
      <c r="C104" s="102"/>
      <c r="D104" s="102"/>
      <c r="E104" s="102"/>
      <c r="F104" s="103"/>
      <c r="G104" s="103"/>
      <c r="H104" s="33">
        <f t="shared" si="1"/>
        <v>1</v>
      </c>
      <c r="J104" s="29"/>
      <c r="K104" s="79"/>
      <c r="L104" s="79"/>
      <c r="M104" s="29"/>
      <c r="N104" s="79"/>
      <c r="O104" s="79"/>
    </row>
    <row r="105" spans="1:15" s="28" customFormat="1" x14ac:dyDescent="0.25">
      <c r="A105" s="101"/>
      <c r="B105" s="102"/>
      <c r="C105" s="102"/>
      <c r="D105" s="102"/>
      <c r="E105" s="102"/>
      <c r="F105" s="103"/>
      <c r="G105" s="103"/>
      <c r="H105" s="33">
        <f t="shared" si="1"/>
        <v>1</v>
      </c>
      <c r="J105" s="29"/>
      <c r="K105" s="79"/>
      <c r="L105" s="79"/>
      <c r="M105" s="29"/>
      <c r="N105" s="79"/>
      <c r="O105" s="79"/>
    </row>
    <row r="106" spans="1:15" s="28" customFormat="1" x14ac:dyDescent="0.25">
      <c r="A106" s="101"/>
      <c r="B106" s="102"/>
      <c r="C106" s="102"/>
      <c r="D106" s="102"/>
      <c r="E106" s="102"/>
      <c r="F106" s="103"/>
      <c r="G106" s="103"/>
      <c r="H106" s="33">
        <f t="shared" si="1"/>
        <v>1</v>
      </c>
      <c r="J106" s="29"/>
      <c r="K106" s="79"/>
      <c r="L106" s="79"/>
      <c r="M106" s="29"/>
      <c r="N106" s="79"/>
      <c r="O106" s="79"/>
    </row>
    <row r="107" spans="1:15" s="28" customFormat="1" x14ac:dyDescent="0.25">
      <c r="A107" s="101"/>
      <c r="B107" s="102"/>
      <c r="C107" s="102"/>
      <c r="D107" s="102"/>
      <c r="E107" s="102"/>
      <c r="F107" s="103"/>
      <c r="G107" s="103"/>
      <c r="H107" s="33">
        <f t="shared" si="1"/>
        <v>1</v>
      </c>
      <c r="J107" s="29"/>
      <c r="K107" s="79"/>
      <c r="L107" s="79"/>
      <c r="M107" s="29"/>
      <c r="N107" s="79"/>
      <c r="O107" s="79"/>
    </row>
    <row r="108" spans="1:15" s="28" customFormat="1" x14ac:dyDescent="0.25">
      <c r="A108" s="101"/>
      <c r="B108" s="102"/>
      <c r="C108" s="102"/>
      <c r="D108" s="104"/>
      <c r="E108" s="102"/>
      <c r="F108" s="103"/>
      <c r="G108" s="103"/>
      <c r="H108" s="33">
        <f t="shared" si="1"/>
        <v>1</v>
      </c>
      <c r="J108" s="29"/>
      <c r="K108" s="79"/>
      <c r="L108" s="79"/>
      <c r="M108" s="29"/>
      <c r="N108" s="79"/>
      <c r="O108" s="79"/>
    </row>
    <row r="109" spans="1:15" s="28" customFormat="1" x14ac:dyDescent="0.25">
      <c r="A109" s="101"/>
      <c r="B109" s="102"/>
      <c r="C109" s="102"/>
      <c r="D109" s="102"/>
      <c r="E109" s="102"/>
      <c r="F109" s="103"/>
      <c r="G109" s="103"/>
      <c r="H109" s="33">
        <f t="shared" si="1"/>
        <v>1</v>
      </c>
      <c r="J109" s="29"/>
      <c r="K109" s="79"/>
      <c r="L109" s="79"/>
      <c r="M109" s="29"/>
      <c r="N109" s="79"/>
      <c r="O109" s="79"/>
    </row>
    <row r="110" spans="1:15" s="28" customFormat="1" x14ac:dyDescent="0.25">
      <c r="A110" s="101"/>
      <c r="B110" s="102"/>
      <c r="C110" s="102"/>
      <c r="D110" s="102"/>
      <c r="E110" s="102"/>
      <c r="F110" s="103"/>
      <c r="G110" s="103"/>
      <c r="H110" s="33">
        <f t="shared" si="1"/>
        <v>1</v>
      </c>
      <c r="J110" s="29"/>
      <c r="K110" s="79"/>
      <c r="L110" s="79"/>
      <c r="M110" s="29"/>
      <c r="N110" s="79"/>
      <c r="O110" s="79"/>
    </row>
    <row r="111" spans="1:15" s="28" customFormat="1" x14ac:dyDescent="0.25">
      <c r="A111" s="101"/>
      <c r="B111" s="102"/>
      <c r="C111" s="102"/>
      <c r="D111" s="102"/>
      <c r="E111" s="102"/>
      <c r="F111" s="103"/>
      <c r="G111" s="103"/>
      <c r="H111" s="33">
        <f t="shared" si="1"/>
        <v>1</v>
      </c>
      <c r="J111" s="29"/>
      <c r="K111" s="79"/>
      <c r="L111" s="79"/>
      <c r="M111" s="29"/>
      <c r="N111" s="79"/>
      <c r="O111" s="79"/>
    </row>
    <row r="112" spans="1:15" s="28" customFormat="1" x14ac:dyDescent="0.25">
      <c r="A112" s="101"/>
      <c r="B112" s="102"/>
      <c r="C112" s="102"/>
      <c r="D112" s="104"/>
      <c r="E112" s="102"/>
      <c r="F112" s="103"/>
      <c r="G112" s="103"/>
      <c r="H112" s="33">
        <f t="shared" si="1"/>
        <v>1</v>
      </c>
      <c r="J112" s="29"/>
      <c r="K112" s="79"/>
      <c r="L112" s="79"/>
      <c r="M112" s="29"/>
      <c r="N112" s="79"/>
      <c r="O112" s="79"/>
    </row>
    <row r="113" spans="1:15" s="28" customFormat="1" x14ac:dyDescent="0.25">
      <c r="A113" s="101"/>
      <c r="B113" s="102"/>
      <c r="C113" s="102"/>
      <c r="D113" s="102"/>
      <c r="E113" s="102"/>
      <c r="F113" s="103"/>
      <c r="G113" s="103"/>
      <c r="H113" s="33">
        <f t="shared" si="1"/>
        <v>1</v>
      </c>
      <c r="J113" s="29"/>
      <c r="K113" s="79"/>
      <c r="L113" s="79"/>
      <c r="M113" s="29"/>
      <c r="N113" s="79"/>
      <c r="O113" s="79"/>
    </row>
    <row r="114" spans="1:15" s="28" customFormat="1" x14ac:dyDescent="0.25">
      <c r="A114" s="101"/>
      <c r="B114" s="102"/>
      <c r="C114" s="102"/>
      <c r="D114" s="102"/>
      <c r="E114" s="102"/>
      <c r="F114" s="103"/>
      <c r="G114" s="103"/>
      <c r="H114" s="33">
        <f t="shared" si="1"/>
        <v>1</v>
      </c>
      <c r="J114" s="29"/>
      <c r="K114" s="79"/>
      <c r="L114" s="79"/>
      <c r="M114" s="29"/>
      <c r="N114" s="79"/>
      <c r="O114" s="79"/>
    </row>
    <row r="115" spans="1:15" s="28" customFormat="1" x14ac:dyDescent="0.25">
      <c r="A115" s="101"/>
      <c r="B115" s="102"/>
      <c r="C115" s="102"/>
      <c r="D115" s="102"/>
      <c r="E115" s="102"/>
      <c r="F115" s="103"/>
      <c r="G115" s="103"/>
      <c r="H115" s="33">
        <f t="shared" si="1"/>
        <v>1</v>
      </c>
      <c r="J115" s="29"/>
      <c r="K115" s="79"/>
      <c r="L115" s="79"/>
      <c r="M115" s="29"/>
      <c r="N115" s="79"/>
      <c r="O115" s="79"/>
    </row>
    <row r="116" spans="1:15" s="28" customFormat="1" x14ac:dyDescent="0.25">
      <c r="A116" s="101"/>
      <c r="B116" s="102"/>
      <c r="C116" s="104"/>
      <c r="D116" s="104"/>
      <c r="E116" s="102"/>
      <c r="F116" s="103"/>
      <c r="G116" s="103"/>
      <c r="H116" s="33">
        <f t="shared" si="1"/>
        <v>1</v>
      </c>
      <c r="J116" s="29"/>
      <c r="K116" s="79"/>
      <c r="L116" s="79"/>
      <c r="M116" s="29"/>
      <c r="N116" s="79"/>
      <c r="O116" s="79"/>
    </row>
    <row r="117" spans="1:15" s="28" customFormat="1" x14ac:dyDescent="0.25">
      <c r="A117" s="101"/>
      <c r="B117" s="102"/>
      <c r="C117" s="102"/>
      <c r="D117" s="102"/>
      <c r="E117" s="102"/>
      <c r="F117" s="103"/>
      <c r="G117" s="103"/>
      <c r="H117" s="33">
        <f t="shared" si="1"/>
        <v>1</v>
      </c>
      <c r="J117" s="29"/>
      <c r="K117" s="79"/>
      <c r="L117" s="79"/>
      <c r="M117" s="29"/>
      <c r="N117" s="79"/>
      <c r="O117" s="79"/>
    </row>
    <row r="118" spans="1:15" s="28" customFormat="1" x14ac:dyDescent="0.25">
      <c r="A118" s="101"/>
      <c r="B118" s="102"/>
      <c r="C118" s="102"/>
      <c r="D118" s="102"/>
      <c r="E118" s="102"/>
      <c r="F118" s="103"/>
      <c r="G118" s="103"/>
      <c r="H118" s="33">
        <f t="shared" si="1"/>
        <v>1</v>
      </c>
      <c r="J118" s="29"/>
      <c r="K118" s="79"/>
      <c r="L118" s="79"/>
      <c r="M118" s="29"/>
      <c r="N118" s="79"/>
      <c r="O118" s="79"/>
    </row>
    <row r="119" spans="1:15" s="28" customFormat="1" x14ac:dyDescent="0.25">
      <c r="A119" s="101"/>
      <c r="B119" s="102"/>
      <c r="C119" s="102"/>
      <c r="D119" s="102"/>
      <c r="E119" s="102"/>
      <c r="F119" s="103"/>
      <c r="G119" s="103"/>
      <c r="H119" s="33">
        <f t="shared" si="1"/>
        <v>1</v>
      </c>
      <c r="J119" s="29"/>
      <c r="K119" s="79"/>
      <c r="L119" s="79"/>
      <c r="M119" s="29"/>
      <c r="N119" s="79"/>
      <c r="O119" s="79"/>
    </row>
    <row r="120" spans="1:15" s="28" customFormat="1" x14ac:dyDescent="0.25">
      <c r="A120" s="101"/>
      <c r="B120" s="102"/>
      <c r="C120" s="102"/>
      <c r="D120" s="102"/>
      <c r="E120" s="102"/>
      <c r="F120" s="103"/>
      <c r="G120" s="103"/>
      <c r="H120" s="33">
        <f t="shared" si="1"/>
        <v>1</v>
      </c>
      <c r="J120" s="29"/>
      <c r="K120" s="79"/>
      <c r="L120" s="79"/>
      <c r="M120" s="29"/>
      <c r="N120" s="79"/>
      <c r="O120" s="79"/>
    </row>
    <row r="121" spans="1:15" s="28" customFormat="1" x14ac:dyDescent="0.25">
      <c r="A121" s="101"/>
      <c r="B121" s="102"/>
      <c r="C121" s="102"/>
      <c r="D121" s="102"/>
      <c r="E121" s="102"/>
      <c r="F121" s="103"/>
      <c r="G121" s="103"/>
      <c r="H121" s="33">
        <f t="shared" si="1"/>
        <v>1</v>
      </c>
      <c r="J121" s="29"/>
      <c r="K121" s="79"/>
      <c r="L121" s="79"/>
      <c r="M121" s="29"/>
      <c r="N121" s="79"/>
      <c r="O121" s="79"/>
    </row>
    <row r="122" spans="1:15" s="28" customFormat="1" x14ac:dyDescent="0.25">
      <c r="A122" s="101"/>
      <c r="B122" s="102"/>
      <c r="C122" s="102"/>
      <c r="D122" s="102"/>
      <c r="E122" s="102"/>
      <c r="F122" s="103"/>
      <c r="G122" s="103"/>
      <c r="H122" s="33">
        <f t="shared" si="1"/>
        <v>1</v>
      </c>
      <c r="J122" s="29"/>
      <c r="K122" s="79"/>
      <c r="L122" s="79"/>
      <c r="M122" s="29"/>
      <c r="N122" s="79"/>
      <c r="O122" s="79"/>
    </row>
    <row r="123" spans="1:15" s="28" customFormat="1" x14ac:dyDescent="0.25">
      <c r="A123" s="101"/>
      <c r="B123" s="102"/>
      <c r="C123" s="102"/>
      <c r="D123" s="102"/>
      <c r="E123" s="102"/>
      <c r="F123" s="103"/>
      <c r="G123" s="103"/>
      <c r="H123" s="33">
        <f t="shared" si="1"/>
        <v>1</v>
      </c>
      <c r="J123" s="29"/>
      <c r="K123" s="79"/>
      <c r="L123" s="79"/>
      <c r="M123" s="29"/>
      <c r="N123" s="79"/>
      <c r="O123" s="79"/>
    </row>
    <row r="124" spans="1:15" s="28" customFormat="1" x14ac:dyDescent="0.25">
      <c r="A124" s="101"/>
      <c r="B124" s="102"/>
      <c r="C124" s="102"/>
      <c r="D124" s="102"/>
      <c r="E124" s="102"/>
      <c r="F124" s="103"/>
      <c r="G124" s="103"/>
      <c r="H124" s="33">
        <f t="shared" si="1"/>
        <v>1</v>
      </c>
      <c r="J124" s="29"/>
      <c r="K124" s="79"/>
      <c r="L124" s="79"/>
      <c r="M124" s="29"/>
      <c r="N124" s="79"/>
      <c r="O124" s="79"/>
    </row>
    <row r="125" spans="1:15" s="28" customFormat="1" x14ac:dyDescent="0.25">
      <c r="A125" s="101"/>
      <c r="B125" s="102"/>
      <c r="C125" s="102"/>
      <c r="D125" s="102"/>
      <c r="E125" s="102"/>
      <c r="F125" s="103"/>
      <c r="G125" s="103"/>
      <c r="H125" s="33">
        <f t="shared" si="1"/>
        <v>1</v>
      </c>
      <c r="J125" s="29"/>
      <c r="K125" s="79"/>
      <c r="L125" s="79"/>
      <c r="M125" s="29"/>
      <c r="N125" s="79"/>
      <c r="O125" s="79"/>
    </row>
    <row r="126" spans="1:15" s="28" customFormat="1" x14ac:dyDescent="0.25">
      <c r="A126" s="101"/>
      <c r="B126" s="102"/>
      <c r="C126" s="102"/>
      <c r="D126" s="102"/>
      <c r="E126" s="102"/>
      <c r="F126" s="103"/>
      <c r="G126" s="103"/>
      <c r="H126" s="33">
        <f t="shared" si="1"/>
        <v>1</v>
      </c>
      <c r="J126" s="29"/>
      <c r="K126" s="79"/>
      <c r="L126" s="79"/>
      <c r="M126" s="29"/>
      <c r="N126" s="79"/>
      <c r="O126" s="79"/>
    </row>
    <row r="127" spans="1:15" s="28" customFormat="1" x14ac:dyDescent="0.25">
      <c r="A127" s="101"/>
      <c r="B127" s="102"/>
      <c r="C127" s="102"/>
      <c r="D127" s="102"/>
      <c r="E127" s="102"/>
      <c r="F127" s="103"/>
      <c r="G127" s="103"/>
      <c r="H127" s="33">
        <f t="shared" si="1"/>
        <v>1</v>
      </c>
      <c r="J127" s="29"/>
      <c r="K127" s="79"/>
      <c r="L127" s="79"/>
      <c r="M127" s="29"/>
      <c r="N127" s="79"/>
      <c r="O127" s="79"/>
    </row>
    <row r="128" spans="1:15" s="28" customFormat="1" x14ac:dyDescent="0.25">
      <c r="A128" s="101"/>
      <c r="B128" s="102"/>
      <c r="C128" s="102"/>
      <c r="D128" s="104"/>
      <c r="E128" s="102"/>
      <c r="F128" s="103"/>
      <c r="G128" s="103"/>
      <c r="H128" s="33">
        <f t="shared" si="1"/>
        <v>1</v>
      </c>
      <c r="J128" s="29"/>
      <c r="K128" s="79"/>
      <c r="L128" s="79"/>
      <c r="M128" s="29"/>
      <c r="N128" s="79"/>
      <c r="O128" s="79"/>
    </row>
    <row r="129" spans="1:15" s="28" customFormat="1" x14ac:dyDescent="0.25">
      <c r="A129" s="17"/>
      <c r="B129" s="19"/>
      <c r="C129" s="19"/>
      <c r="D129" s="19"/>
      <c r="E129" s="19"/>
      <c r="F129" s="20"/>
      <c r="G129" s="20"/>
      <c r="H129" s="33">
        <f t="shared" si="1"/>
        <v>1</v>
      </c>
      <c r="J129"/>
      <c r="K129"/>
      <c r="L129"/>
      <c r="M129"/>
      <c r="N129"/>
      <c r="O129"/>
    </row>
    <row r="130" spans="1:15" s="28" customFormat="1" x14ac:dyDescent="0.25">
      <c r="A130" s="17"/>
      <c r="B130" s="19"/>
      <c r="C130" s="19"/>
      <c r="D130" s="19"/>
      <c r="E130" s="19"/>
      <c r="F130" s="20"/>
      <c r="G130" s="20"/>
      <c r="H130" s="33">
        <f t="shared" si="1"/>
        <v>1</v>
      </c>
      <c r="J130"/>
      <c r="K130"/>
      <c r="L130"/>
      <c r="M130"/>
      <c r="N130"/>
      <c r="O130"/>
    </row>
    <row r="131" spans="1:15" s="28" customFormat="1" x14ac:dyDescent="0.25">
      <c r="A131" s="17"/>
      <c r="B131" s="19"/>
      <c r="C131" s="19"/>
      <c r="D131" s="19"/>
      <c r="E131" s="19"/>
      <c r="F131" s="20"/>
      <c r="G131" s="20"/>
      <c r="H131" s="33">
        <f t="shared" si="1"/>
        <v>1</v>
      </c>
      <c r="J131"/>
      <c r="K131"/>
      <c r="L131"/>
      <c r="M131"/>
      <c r="N131"/>
      <c r="O131"/>
    </row>
    <row r="132" spans="1:15" s="28" customFormat="1" x14ac:dyDescent="0.25">
      <c r="A132" s="17"/>
      <c r="B132" s="19"/>
      <c r="C132" s="19"/>
      <c r="D132" s="19"/>
      <c r="E132" s="19"/>
      <c r="F132" s="20"/>
      <c r="G132" s="20"/>
      <c r="H132" s="33">
        <f t="shared" ref="H132:H195" si="2">H131</f>
        <v>1</v>
      </c>
      <c r="J132"/>
      <c r="K132"/>
      <c r="L132"/>
      <c r="M132"/>
      <c r="N132"/>
      <c r="O132"/>
    </row>
    <row r="133" spans="1:15" s="28" customFormat="1" x14ac:dyDescent="0.25">
      <c r="A133" s="17"/>
      <c r="B133" s="19"/>
      <c r="C133" s="19"/>
      <c r="D133" s="19"/>
      <c r="E133" s="19"/>
      <c r="F133" s="20"/>
      <c r="G133" s="20"/>
      <c r="H133" s="33">
        <f t="shared" si="2"/>
        <v>1</v>
      </c>
      <c r="J133"/>
      <c r="K133"/>
      <c r="L133"/>
      <c r="M133"/>
      <c r="N133"/>
      <c r="O133"/>
    </row>
    <row r="134" spans="1:15" s="28" customFormat="1" x14ac:dyDescent="0.25">
      <c r="A134" s="17"/>
      <c r="B134" s="19"/>
      <c r="C134" s="19"/>
      <c r="D134" s="19"/>
      <c r="E134" s="19"/>
      <c r="F134" s="20"/>
      <c r="G134" s="20"/>
      <c r="H134" s="33">
        <f t="shared" si="2"/>
        <v>1</v>
      </c>
      <c r="J134"/>
      <c r="K134"/>
      <c r="L134"/>
      <c r="M134"/>
      <c r="N134"/>
      <c r="O134"/>
    </row>
    <row r="135" spans="1:15" s="28" customFormat="1" x14ac:dyDescent="0.25">
      <c r="A135" s="17"/>
      <c r="B135" s="19"/>
      <c r="C135" s="19"/>
      <c r="D135" s="21"/>
      <c r="E135" s="19"/>
      <c r="F135" s="20"/>
      <c r="G135" s="20"/>
      <c r="H135" s="33">
        <f t="shared" si="2"/>
        <v>1</v>
      </c>
      <c r="J135"/>
      <c r="K135"/>
      <c r="L135"/>
      <c r="M135"/>
      <c r="N135"/>
      <c r="O135"/>
    </row>
    <row r="136" spans="1:15" s="28" customFormat="1" x14ac:dyDescent="0.25">
      <c r="A136" s="17"/>
      <c r="B136" s="21"/>
      <c r="C136" s="21"/>
      <c r="D136" s="21"/>
      <c r="E136" s="19"/>
      <c r="F136" s="20"/>
      <c r="G136" s="20"/>
      <c r="H136" s="33">
        <f t="shared" si="2"/>
        <v>1</v>
      </c>
      <c r="J136"/>
      <c r="K136"/>
      <c r="L136"/>
      <c r="M136"/>
      <c r="N136"/>
      <c r="O136"/>
    </row>
    <row r="137" spans="1:15" s="28" customFormat="1" x14ac:dyDescent="0.25">
      <c r="A137" s="17"/>
      <c r="B137" s="29"/>
      <c r="C137" s="29"/>
      <c r="D137" s="29"/>
      <c r="E137" s="29"/>
      <c r="F137" s="29"/>
      <c r="G137" s="29"/>
      <c r="H137" s="33">
        <f t="shared" si="2"/>
        <v>1</v>
      </c>
      <c r="J137"/>
      <c r="K137"/>
      <c r="L137"/>
      <c r="M137"/>
      <c r="N137"/>
      <c r="O137"/>
    </row>
    <row r="138" spans="1:15" s="28" customFormat="1" x14ac:dyDescent="0.25">
      <c r="A138" s="17"/>
      <c r="B138" s="29"/>
      <c r="C138" s="29"/>
      <c r="D138" s="29"/>
      <c r="E138" s="29"/>
      <c r="F138" s="29"/>
      <c r="G138" s="29"/>
      <c r="H138" s="33">
        <f t="shared" si="2"/>
        <v>1</v>
      </c>
      <c r="J138"/>
      <c r="K138"/>
      <c r="L138"/>
      <c r="M138"/>
      <c r="N138"/>
      <c r="O138"/>
    </row>
    <row r="139" spans="1:15" s="28" customFormat="1" x14ac:dyDescent="0.25">
      <c r="A139" s="17"/>
      <c r="B139" s="29"/>
      <c r="C139" s="29"/>
      <c r="D139" s="29"/>
      <c r="E139" s="29"/>
      <c r="F139" s="29"/>
      <c r="G139" s="29"/>
      <c r="H139" s="33">
        <f t="shared" si="2"/>
        <v>1</v>
      </c>
      <c r="J139"/>
      <c r="K139"/>
      <c r="L139"/>
      <c r="M139"/>
      <c r="N139"/>
      <c r="O139"/>
    </row>
    <row r="140" spans="1:15" s="28" customFormat="1" x14ac:dyDescent="0.25">
      <c r="A140" s="17"/>
      <c r="B140" s="29"/>
      <c r="C140" s="29"/>
      <c r="D140" s="29"/>
      <c r="E140" s="29"/>
      <c r="F140" s="29"/>
      <c r="G140" s="29"/>
      <c r="H140" s="33">
        <f t="shared" si="2"/>
        <v>1</v>
      </c>
      <c r="J140"/>
      <c r="K140"/>
      <c r="L140"/>
      <c r="M140"/>
      <c r="N140"/>
      <c r="O140"/>
    </row>
    <row r="141" spans="1:15" s="28" customFormat="1" x14ac:dyDescent="0.25">
      <c r="A141" s="17"/>
      <c r="B141" s="29"/>
      <c r="C141" s="29"/>
      <c r="D141" s="29"/>
      <c r="E141" s="29"/>
      <c r="F141" s="29"/>
      <c r="G141" s="29"/>
      <c r="H141" s="33">
        <f t="shared" si="2"/>
        <v>1</v>
      </c>
      <c r="J141"/>
      <c r="K141"/>
      <c r="L141"/>
      <c r="M141"/>
      <c r="N141"/>
      <c r="O141"/>
    </row>
    <row r="142" spans="1:15" s="28" customFormat="1" x14ac:dyDescent="0.25">
      <c r="A142" s="17"/>
      <c r="B142" s="29"/>
      <c r="C142" s="29"/>
      <c r="D142" s="29"/>
      <c r="E142" s="29"/>
      <c r="F142" s="29"/>
      <c r="G142" s="29"/>
      <c r="H142" s="33">
        <f t="shared" si="2"/>
        <v>1</v>
      </c>
      <c r="J142"/>
      <c r="K142"/>
      <c r="L142"/>
      <c r="M142"/>
      <c r="N142"/>
      <c r="O142"/>
    </row>
    <row r="143" spans="1:15" s="28" customFormat="1" x14ac:dyDescent="0.25">
      <c r="A143" s="17"/>
      <c r="B143" s="29"/>
      <c r="C143" s="29"/>
      <c r="D143" s="29"/>
      <c r="E143" s="29"/>
      <c r="F143" s="29"/>
      <c r="G143" s="29"/>
      <c r="H143" s="33">
        <f t="shared" si="2"/>
        <v>1</v>
      </c>
      <c r="J143"/>
      <c r="K143"/>
      <c r="L143"/>
      <c r="M143"/>
      <c r="N143"/>
      <c r="O143"/>
    </row>
    <row r="144" spans="1:15" s="28" customFormat="1" x14ac:dyDescent="0.25">
      <c r="A144" s="17"/>
      <c r="B144" s="29"/>
      <c r="C144" s="29"/>
      <c r="D144" s="29"/>
      <c r="E144" s="29"/>
      <c r="F144" s="29"/>
      <c r="G144" s="29"/>
      <c r="H144" s="33">
        <f t="shared" si="2"/>
        <v>1</v>
      </c>
      <c r="J144"/>
      <c r="K144"/>
      <c r="L144"/>
      <c r="M144"/>
      <c r="N144"/>
      <c r="O144"/>
    </row>
    <row r="145" spans="1:15" s="28" customFormat="1" x14ac:dyDescent="0.25">
      <c r="A145" s="17"/>
      <c r="B145" s="29"/>
      <c r="C145" s="29"/>
      <c r="D145" s="29"/>
      <c r="E145" s="29"/>
      <c r="F145" s="29"/>
      <c r="G145" s="29"/>
      <c r="H145" s="33">
        <f t="shared" si="2"/>
        <v>1</v>
      </c>
      <c r="J145"/>
      <c r="K145"/>
      <c r="L145"/>
      <c r="M145"/>
      <c r="N145"/>
      <c r="O145"/>
    </row>
    <row r="146" spans="1:15" s="28" customFormat="1" x14ac:dyDescent="0.25">
      <c r="A146" s="17"/>
      <c r="B146" s="29"/>
      <c r="C146" s="29"/>
      <c r="D146" s="29"/>
      <c r="E146" s="29"/>
      <c r="F146" s="29"/>
      <c r="G146" s="29"/>
      <c r="H146" s="33">
        <f t="shared" si="2"/>
        <v>1</v>
      </c>
      <c r="J146"/>
      <c r="K146"/>
      <c r="L146"/>
      <c r="M146"/>
      <c r="N146"/>
      <c r="O146"/>
    </row>
    <row r="147" spans="1:15" s="28" customFormat="1" x14ac:dyDescent="0.25">
      <c r="A147" s="17"/>
      <c r="B147" s="29"/>
      <c r="C147" s="29"/>
      <c r="D147" s="29"/>
      <c r="E147" s="29"/>
      <c r="F147" s="29"/>
      <c r="G147" s="29"/>
      <c r="H147" s="33">
        <f t="shared" si="2"/>
        <v>1</v>
      </c>
      <c r="J147"/>
      <c r="K147"/>
      <c r="L147"/>
      <c r="M147"/>
      <c r="N147"/>
      <c r="O147"/>
    </row>
    <row r="148" spans="1:15" s="28" customFormat="1" x14ac:dyDescent="0.25">
      <c r="A148" s="17"/>
      <c r="B148" s="29"/>
      <c r="C148" s="29"/>
      <c r="D148" s="29"/>
      <c r="E148" s="29"/>
      <c r="F148" s="29"/>
      <c r="G148" s="29"/>
      <c r="H148" s="33">
        <f t="shared" si="2"/>
        <v>1</v>
      </c>
      <c r="J148"/>
      <c r="K148"/>
      <c r="L148"/>
      <c r="M148"/>
      <c r="N148"/>
      <c r="O148"/>
    </row>
    <row r="149" spans="1:15" s="28" customFormat="1" x14ac:dyDescent="0.25">
      <c r="A149" s="17"/>
      <c r="B149" s="29"/>
      <c r="C149" s="29"/>
      <c r="D149" s="29"/>
      <c r="E149" s="29"/>
      <c r="F149" s="29"/>
      <c r="G149" s="29"/>
      <c r="H149" s="33">
        <f t="shared" si="2"/>
        <v>1</v>
      </c>
      <c r="J149"/>
      <c r="K149"/>
      <c r="L149"/>
      <c r="M149"/>
      <c r="N149"/>
      <c r="O149"/>
    </row>
    <row r="150" spans="1:15" s="28" customFormat="1" x14ac:dyDescent="0.25">
      <c r="A150" s="17"/>
      <c r="B150" s="29"/>
      <c r="C150" s="29"/>
      <c r="D150" s="29"/>
      <c r="E150" s="29"/>
      <c r="F150" s="29"/>
      <c r="G150" s="29"/>
      <c r="H150" s="33">
        <f t="shared" si="2"/>
        <v>1</v>
      </c>
      <c r="J150"/>
      <c r="K150"/>
      <c r="L150"/>
      <c r="M150"/>
      <c r="N150"/>
      <c r="O150"/>
    </row>
    <row r="151" spans="1:15" s="28" customFormat="1" x14ac:dyDescent="0.25">
      <c r="A151" s="17"/>
      <c r="B151" s="29"/>
      <c r="C151" s="29"/>
      <c r="D151" s="29"/>
      <c r="E151" s="29"/>
      <c r="F151" s="29"/>
      <c r="G151" s="29"/>
      <c r="H151" s="33">
        <f t="shared" si="2"/>
        <v>1</v>
      </c>
      <c r="J151"/>
      <c r="K151"/>
      <c r="L151"/>
      <c r="M151"/>
      <c r="N151"/>
      <c r="O151"/>
    </row>
    <row r="152" spans="1:15" s="28" customFormat="1" x14ac:dyDescent="0.25">
      <c r="A152" s="17"/>
      <c r="B152" s="29"/>
      <c r="C152" s="29"/>
      <c r="D152" s="29"/>
      <c r="E152" s="29"/>
      <c r="F152" s="29"/>
      <c r="G152" s="29"/>
      <c r="H152" s="33">
        <f t="shared" si="2"/>
        <v>1</v>
      </c>
      <c r="J152"/>
      <c r="K152"/>
      <c r="L152"/>
      <c r="M152"/>
      <c r="N152"/>
      <c r="O152"/>
    </row>
    <row r="153" spans="1:15" s="28" customFormat="1" x14ac:dyDescent="0.25">
      <c r="A153" s="17"/>
      <c r="B153" s="29"/>
      <c r="C153" s="29"/>
      <c r="D153" s="29"/>
      <c r="E153" s="29"/>
      <c r="F153" s="29"/>
      <c r="G153" s="29"/>
      <c r="H153" s="33">
        <f t="shared" si="2"/>
        <v>1</v>
      </c>
      <c r="J153"/>
      <c r="K153"/>
      <c r="L153"/>
      <c r="M153"/>
      <c r="N153"/>
      <c r="O153"/>
    </row>
    <row r="154" spans="1:15" s="28" customFormat="1" x14ac:dyDescent="0.25">
      <c r="A154" s="17"/>
      <c r="B154" s="29"/>
      <c r="C154" s="29"/>
      <c r="D154" s="29"/>
      <c r="E154" s="29"/>
      <c r="F154" s="29"/>
      <c r="G154" s="29"/>
      <c r="H154" s="33">
        <f t="shared" si="2"/>
        <v>1</v>
      </c>
      <c r="J154"/>
      <c r="K154"/>
      <c r="L154"/>
      <c r="M154"/>
      <c r="N154"/>
      <c r="O154"/>
    </row>
    <row r="155" spans="1:15" s="28" customFormat="1" x14ac:dyDescent="0.25">
      <c r="A155" s="17"/>
      <c r="B155" s="29"/>
      <c r="C155" s="29"/>
      <c r="D155" s="29"/>
      <c r="E155" s="29"/>
      <c r="F155" s="29"/>
      <c r="G155" s="29"/>
      <c r="H155" s="33">
        <f t="shared" si="2"/>
        <v>1</v>
      </c>
      <c r="J155"/>
      <c r="K155"/>
      <c r="L155"/>
      <c r="M155"/>
      <c r="N155"/>
      <c r="O155"/>
    </row>
    <row r="156" spans="1:15" s="28" customFormat="1" x14ac:dyDescent="0.25">
      <c r="A156" s="17"/>
      <c r="B156" s="29"/>
      <c r="C156" s="29"/>
      <c r="D156" s="29"/>
      <c r="E156" s="29"/>
      <c r="F156" s="29"/>
      <c r="G156" s="29"/>
      <c r="H156" s="33">
        <f t="shared" si="2"/>
        <v>1</v>
      </c>
      <c r="J156"/>
      <c r="K156"/>
      <c r="L156"/>
      <c r="M156"/>
      <c r="N156"/>
      <c r="O156"/>
    </row>
    <row r="157" spans="1:15" s="28" customFormat="1" x14ac:dyDescent="0.25">
      <c r="A157" s="17"/>
      <c r="B157" s="29"/>
      <c r="C157" s="29"/>
      <c r="D157" s="29"/>
      <c r="E157" s="29"/>
      <c r="F157" s="29"/>
      <c r="G157" s="29"/>
      <c r="H157" s="33">
        <f t="shared" si="2"/>
        <v>1</v>
      </c>
      <c r="J157"/>
      <c r="K157"/>
      <c r="L157"/>
      <c r="M157"/>
      <c r="N157"/>
      <c r="O157"/>
    </row>
    <row r="158" spans="1:15" s="28" customFormat="1" x14ac:dyDescent="0.25">
      <c r="A158" s="17"/>
      <c r="B158" s="29"/>
      <c r="C158" s="29"/>
      <c r="D158" s="29"/>
      <c r="E158" s="29"/>
      <c r="F158" s="29"/>
      <c r="G158" s="29"/>
      <c r="H158" s="33">
        <f t="shared" si="2"/>
        <v>1</v>
      </c>
      <c r="J158"/>
      <c r="K158"/>
      <c r="L158"/>
      <c r="M158"/>
      <c r="N158"/>
      <c r="O158"/>
    </row>
    <row r="159" spans="1:15" s="28" customFormat="1" x14ac:dyDescent="0.25">
      <c r="A159" s="17"/>
      <c r="B159" s="29"/>
      <c r="C159" s="29"/>
      <c r="D159" s="29"/>
      <c r="E159" s="29"/>
      <c r="F159" s="29"/>
      <c r="G159" s="29"/>
      <c r="H159" s="33">
        <f t="shared" si="2"/>
        <v>1</v>
      </c>
      <c r="J159"/>
      <c r="K159"/>
      <c r="L159"/>
      <c r="M159"/>
      <c r="N159"/>
      <c r="O159"/>
    </row>
    <row r="160" spans="1:15" s="28" customFormat="1" x14ac:dyDescent="0.25">
      <c r="A160" s="17"/>
      <c r="B160" s="29"/>
      <c r="C160" s="29"/>
      <c r="D160" s="29"/>
      <c r="E160" s="29"/>
      <c r="F160" s="29"/>
      <c r="G160" s="29"/>
      <c r="H160" s="33">
        <f t="shared" si="2"/>
        <v>1</v>
      </c>
      <c r="J160"/>
      <c r="K160"/>
      <c r="L160"/>
      <c r="M160"/>
      <c r="N160"/>
      <c r="O160"/>
    </row>
    <row r="161" spans="1:15" s="28" customFormat="1" x14ac:dyDescent="0.25">
      <c r="A161" s="17"/>
      <c r="B161" s="29"/>
      <c r="C161" s="29"/>
      <c r="D161" s="29"/>
      <c r="E161" s="29"/>
      <c r="F161" s="29"/>
      <c r="G161" s="29"/>
      <c r="H161" s="33">
        <f t="shared" si="2"/>
        <v>1</v>
      </c>
      <c r="J161"/>
      <c r="K161"/>
      <c r="L161"/>
      <c r="M161"/>
      <c r="N161"/>
      <c r="O161"/>
    </row>
    <row r="162" spans="1:15" s="28" customFormat="1" x14ac:dyDescent="0.25">
      <c r="A162" s="17"/>
      <c r="B162" s="29"/>
      <c r="C162" s="29"/>
      <c r="D162" s="29"/>
      <c r="E162" s="29"/>
      <c r="F162" s="29"/>
      <c r="G162" s="29"/>
      <c r="H162" s="33">
        <f t="shared" si="2"/>
        <v>1</v>
      </c>
      <c r="J162"/>
      <c r="K162"/>
      <c r="L162"/>
      <c r="M162"/>
      <c r="N162"/>
      <c r="O162"/>
    </row>
    <row r="163" spans="1:15" s="28" customFormat="1" x14ac:dyDescent="0.25">
      <c r="A163" s="17"/>
      <c r="B163" s="29"/>
      <c r="C163" s="29"/>
      <c r="D163" s="29"/>
      <c r="E163" s="29"/>
      <c r="F163" s="29"/>
      <c r="G163" s="29"/>
      <c r="H163" s="33">
        <f t="shared" si="2"/>
        <v>1</v>
      </c>
      <c r="J163"/>
      <c r="K163"/>
      <c r="L163"/>
      <c r="M163"/>
      <c r="N163"/>
      <c r="O163"/>
    </row>
    <row r="164" spans="1:15" s="28" customFormat="1" x14ac:dyDescent="0.25">
      <c r="A164" s="17"/>
      <c r="B164" s="29"/>
      <c r="C164" s="29"/>
      <c r="D164" s="29"/>
      <c r="E164" s="29"/>
      <c r="F164" s="29"/>
      <c r="G164" s="29"/>
      <c r="H164" s="33">
        <f t="shared" si="2"/>
        <v>1</v>
      </c>
      <c r="J164"/>
      <c r="K164"/>
      <c r="L164"/>
      <c r="M164"/>
      <c r="N164"/>
      <c r="O164"/>
    </row>
    <row r="165" spans="1:15" s="28" customFormat="1" x14ac:dyDescent="0.25">
      <c r="A165" s="17"/>
      <c r="B165" s="29"/>
      <c r="C165" s="29"/>
      <c r="D165" s="29"/>
      <c r="E165" s="29"/>
      <c r="F165" s="29"/>
      <c r="G165" s="29"/>
      <c r="H165" s="33">
        <f t="shared" si="2"/>
        <v>1</v>
      </c>
      <c r="J165"/>
      <c r="K165"/>
      <c r="L165"/>
      <c r="M165"/>
      <c r="N165"/>
      <c r="O165"/>
    </row>
    <row r="166" spans="1:15" s="28" customFormat="1" x14ac:dyDescent="0.25">
      <c r="A166" s="17"/>
      <c r="B166" s="29"/>
      <c r="C166" s="29"/>
      <c r="D166" s="29"/>
      <c r="E166" s="29"/>
      <c r="F166" s="29"/>
      <c r="G166" s="29"/>
      <c r="H166" s="33">
        <f t="shared" si="2"/>
        <v>1</v>
      </c>
      <c r="J166"/>
      <c r="K166"/>
      <c r="L166"/>
      <c r="M166"/>
      <c r="N166"/>
      <c r="O166"/>
    </row>
    <row r="167" spans="1:15" s="28" customFormat="1" x14ac:dyDescent="0.25">
      <c r="A167" s="17"/>
      <c r="B167" s="29"/>
      <c r="C167" s="29"/>
      <c r="D167" s="29"/>
      <c r="E167" s="29"/>
      <c r="F167" s="29"/>
      <c r="G167" s="29"/>
      <c r="H167" s="33">
        <f t="shared" si="2"/>
        <v>1</v>
      </c>
      <c r="J167"/>
      <c r="K167"/>
      <c r="L167"/>
      <c r="M167"/>
      <c r="N167"/>
      <c r="O167"/>
    </row>
    <row r="168" spans="1:15" s="28" customFormat="1" x14ac:dyDescent="0.25">
      <c r="A168" s="17"/>
      <c r="B168" s="29"/>
      <c r="C168" s="29"/>
      <c r="D168" s="29"/>
      <c r="E168" s="29"/>
      <c r="F168" s="29"/>
      <c r="G168" s="29"/>
      <c r="H168" s="33">
        <f t="shared" si="2"/>
        <v>1</v>
      </c>
      <c r="J168"/>
      <c r="K168"/>
      <c r="L168"/>
      <c r="M168"/>
      <c r="N168"/>
      <c r="O168"/>
    </row>
    <row r="169" spans="1:15" s="28" customFormat="1" x14ac:dyDescent="0.25">
      <c r="A169" s="17"/>
      <c r="B169" s="29"/>
      <c r="C169" s="29"/>
      <c r="D169" s="29"/>
      <c r="E169" s="29"/>
      <c r="F169" s="29"/>
      <c r="G169" s="29"/>
      <c r="H169" s="33">
        <f t="shared" si="2"/>
        <v>1</v>
      </c>
      <c r="J169"/>
      <c r="K169"/>
      <c r="L169"/>
      <c r="M169"/>
      <c r="N169"/>
      <c r="O169"/>
    </row>
    <row r="170" spans="1:15" s="28" customFormat="1" x14ac:dyDescent="0.25">
      <c r="A170" s="17"/>
      <c r="B170" s="29"/>
      <c r="C170" s="29"/>
      <c r="D170" s="29"/>
      <c r="E170" s="29"/>
      <c r="F170" s="29"/>
      <c r="G170" s="29"/>
      <c r="H170" s="33">
        <f t="shared" si="2"/>
        <v>1</v>
      </c>
      <c r="J170"/>
      <c r="K170"/>
      <c r="L170"/>
      <c r="M170"/>
      <c r="N170"/>
      <c r="O170"/>
    </row>
    <row r="171" spans="1:15" s="28" customFormat="1" x14ac:dyDescent="0.25">
      <c r="A171" s="17"/>
      <c r="B171" s="29"/>
      <c r="C171" s="29"/>
      <c r="D171" s="29"/>
      <c r="E171" s="29"/>
      <c r="F171" s="29"/>
      <c r="G171" s="29"/>
      <c r="H171" s="33">
        <f t="shared" si="2"/>
        <v>1</v>
      </c>
      <c r="J171"/>
      <c r="K171"/>
      <c r="L171"/>
      <c r="M171"/>
      <c r="N171"/>
      <c r="O171"/>
    </row>
    <row r="172" spans="1:15" s="28" customFormat="1" x14ac:dyDescent="0.25">
      <c r="A172" s="17"/>
      <c r="B172" s="29"/>
      <c r="C172" s="29"/>
      <c r="D172" s="29"/>
      <c r="E172" s="29"/>
      <c r="F172" s="29"/>
      <c r="G172" s="29"/>
      <c r="H172" s="33">
        <f t="shared" si="2"/>
        <v>1</v>
      </c>
      <c r="J172"/>
      <c r="K172"/>
      <c r="L172"/>
      <c r="M172"/>
      <c r="N172"/>
      <c r="O172"/>
    </row>
    <row r="173" spans="1:15" s="28" customFormat="1" x14ac:dyDescent="0.25">
      <c r="A173" s="17"/>
      <c r="B173" s="29"/>
      <c r="C173" s="29"/>
      <c r="D173" s="29"/>
      <c r="E173" s="29"/>
      <c r="F173" s="29"/>
      <c r="G173" s="29"/>
      <c r="H173" s="33">
        <f t="shared" si="2"/>
        <v>1</v>
      </c>
      <c r="J173"/>
      <c r="K173"/>
      <c r="L173"/>
      <c r="M173"/>
      <c r="N173"/>
      <c r="O173"/>
    </row>
    <row r="174" spans="1:15" s="28" customFormat="1" x14ac:dyDescent="0.25">
      <c r="A174" s="17"/>
      <c r="B174" s="29"/>
      <c r="C174" s="29"/>
      <c r="D174" s="29"/>
      <c r="E174" s="29"/>
      <c r="F174" s="29"/>
      <c r="G174" s="29"/>
      <c r="H174" s="33">
        <f t="shared" si="2"/>
        <v>1</v>
      </c>
      <c r="J174"/>
      <c r="K174"/>
      <c r="L174"/>
      <c r="M174"/>
      <c r="N174"/>
      <c r="O174"/>
    </row>
    <row r="175" spans="1:15" s="28" customFormat="1" x14ac:dyDescent="0.25">
      <c r="A175" s="17"/>
      <c r="B175" s="29"/>
      <c r="C175" s="29"/>
      <c r="D175" s="29"/>
      <c r="E175" s="29"/>
      <c r="F175" s="29"/>
      <c r="G175" s="29"/>
      <c r="H175" s="33">
        <f t="shared" si="2"/>
        <v>1</v>
      </c>
      <c r="J175"/>
      <c r="K175"/>
      <c r="L175"/>
      <c r="M175"/>
      <c r="N175"/>
      <c r="O175"/>
    </row>
    <row r="176" spans="1:15" s="28" customFormat="1" x14ac:dyDescent="0.25">
      <c r="A176" s="17"/>
      <c r="B176" s="29"/>
      <c r="C176" s="29"/>
      <c r="D176" s="29"/>
      <c r="E176" s="29"/>
      <c r="F176" s="29"/>
      <c r="G176" s="29"/>
      <c r="H176" s="33">
        <f t="shared" si="2"/>
        <v>1</v>
      </c>
      <c r="J176"/>
      <c r="K176"/>
      <c r="L176"/>
      <c r="M176"/>
      <c r="N176"/>
      <c r="O176"/>
    </row>
    <row r="177" spans="1:15" s="28" customFormat="1" x14ac:dyDescent="0.25">
      <c r="A177" s="17"/>
      <c r="B177" s="29"/>
      <c r="C177" s="29"/>
      <c r="D177" s="29"/>
      <c r="E177" s="29"/>
      <c r="F177" s="29"/>
      <c r="G177" s="29"/>
      <c r="H177" s="33">
        <f t="shared" si="2"/>
        <v>1</v>
      </c>
      <c r="J177"/>
      <c r="K177"/>
      <c r="L177"/>
      <c r="M177"/>
      <c r="N177"/>
      <c r="O177"/>
    </row>
    <row r="178" spans="1:15" s="28" customFormat="1" x14ac:dyDescent="0.25">
      <c r="A178" s="17"/>
      <c r="B178" s="29"/>
      <c r="C178" s="29"/>
      <c r="D178" s="29"/>
      <c r="E178" s="29"/>
      <c r="F178" s="29"/>
      <c r="G178" s="29"/>
      <c r="H178" s="33">
        <f t="shared" si="2"/>
        <v>1</v>
      </c>
      <c r="J178"/>
      <c r="K178"/>
      <c r="L178"/>
      <c r="M178"/>
      <c r="N178"/>
      <c r="O178"/>
    </row>
    <row r="179" spans="1:15" s="28" customFormat="1" x14ac:dyDescent="0.25">
      <c r="A179" s="17"/>
      <c r="B179" s="29"/>
      <c r="C179" s="29"/>
      <c r="D179" s="29"/>
      <c r="E179" s="29"/>
      <c r="F179" s="29"/>
      <c r="G179" s="29"/>
      <c r="H179" s="33">
        <f t="shared" si="2"/>
        <v>1</v>
      </c>
      <c r="J179"/>
      <c r="K179"/>
      <c r="L179"/>
      <c r="M179"/>
      <c r="N179"/>
      <c r="O179"/>
    </row>
    <row r="180" spans="1:15" s="28" customFormat="1" x14ac:dyDescent="0.25">
      <c r="A180" s="17"/>
      <c r="B180" s="29"/>
      <c r="C180" s="29"/>
      <c r="D180" s="29"/>
      <c r="E180" s="29"/>
      <c r="F180" s="29"/>
      <c r="G180" s="29"/>
      <c r="H180" s="33">
        <f t="shared" si="2"/>
        <v>1</v>
      </c>
      <c r="J180"/>
      <c r="K180"/>
      <c r="L180"/>
      <c r="M180"/>
      <c r="N180"/>
      <c r="O180"/>
    </row>
    <row r="181" spans="1:15" s="28" customFormat="1" x14ac:dyDescent="0.25">
      <c r="A181" s="17"/>
      <c r="B181" s="29"/>
      <c r="C181" s="29"/>
      <c r="D181" s="29"/>
      <c r="E181" s="29"/>
      <c r="F181" s="29"/>
      <c r="G181" s="29"/>
      <c r="H181" s="33">
        <f t="shared" si="2"/>
        <v>1</v>
      </c>
      <c r="J181"/>
      <c r="K181"/>
      <c r="L181"/>
      <c r="M181"/>
      <c r="N181"/>
      <c r="O181"/>
    </row>
    <row r="182" spans="1:15" s="28" customFormat="1" x14ac:dyDescent="0.25">
      <c r="A182" s="17"/>
      <c r="B182" s="29"/>
      <c r="C182" s="29"/>
      <c r="D182" s="29"/>
      <c r="E182" s="29"/>
      <c r="F182" s="29"/>
      <c r="G182" s="29"/>
      <c r="H182" s="33">
        <f t="shared" si="2"/>
        <v>1</v>
      </c>
      <c r="J182"/>
      <c r="K182"/>
      <c r="L182"/>
      <c r="M182"/>
      <c r="N182"/>
      <c r="O182"/>
    </row>
    <row r="183" spans="1:15" s="28" customFormat="1" x14ac:dyDescent="0.25">
      <c r="A183" s="17"/>
      <c r="B183" s="29"/>
      <c r="C183" s="29"/>
      <c r="D183" s="29"/>
      <c r="E183" s="29"/>
      <c r="F183" s="29"/>
      <c r="G183" s="29"/>
      <c r="H183" s="33">
        <f t="shared" si="2"/>
        <v>1</v>
      </c>
      <c r="J183"/>
      <c r="K183"/>
      <c r="L183"/>
      <c r="M183"/>
      <c r="N183"/>
      <c r="O183"/>
    </row>
    <row r="184" spans="1:15" s="28" customFormat="1" x14ac:dyDescent="0.25">
      <c r="A184" s="17"/>
      <c r="B184" s="29"/>
      <c r="C184" s="29"/>
      <c r="D184" s="29"/>
      <c r="E184" s="29"/>
      <c r="F184" s="29"/>
      <c r="G184" s="29"/>
      <c r="H184" s="33">
        <f t="shared" si="2"/>
        <v>1</v>
      </c>
      <c r="J184"/>
      <c r="K184"/>
      <c r="L184"/>
      <c r="M184"/>
      <c r="N184"/>
      <c r="O184"/>
    </row>
    <row r="185" spans="1:15" s="28" customFormat="1" x14ac:dyDescent="0.25">
      <c r="A185" s="17"/>
      <c r="B185" s="29"/>
      <c r="C185" s="29"/>
      <c r="D185" s="29"/>
      <c r="E185" s="29"/>
      <c r="F185" s="29"/>
      <c r="G185" s="29"/>
      <c r="H185" s="33">
        <f t="shared" si="2"/>
        <v>1</v>
      </c>
      <c r="J185"/>
      <c r="K185"/>
      <c r="L185"/>
      <c r="M185"/>
      <c r="N185"/>
      <c r="O185"/>
    </row>
    <row r="186" spans="1:15" s="28" customFormat="1" x14ac:dyDescent="0.25">
      <c r="A186" s="17"/>
      <c r="B186" s="29"/>
      <c r="C186" s="29"/>
      <c r="D186" s="29"/>
      <c r="E186" s="29"/>
      <c r="F186" s="29"/>
      <c r="G186" s="29"/>
      <c r="H186" s="33">
        <f t="shared" si="2"/>
        <v>1</v>
      </c>
      <c r="J186"/>
      <c r="K186"/>
      <c r="L186"/>
      <c r="M186"/>
      <c r="N186"/>
      <c r="O186"/>
    </row>
    <row r="187" spans="1:15" s="28" customFormat="1" x14ac:dyDescent="0.25">
      <c r="A187" s="17"/>
      <c r="B187" s="29"/>
      <c r="C187" s="29"/>
      <c r="D187" s="29"/>
      <c r="E187" s="29"/>
      <c r="F187" s="29"/>
      <c r="G187" s="29"/>
      <c r="H187" s="33">
        <f t="shared" si="2"/>
        <v>1</v>
      </c>
      <c r="J187"/>
      <c r="K187"/>
      <c r="L187"/>
      <c r="M187"/>
      <c r="N187"/>
      <c r="O187"/>
    </row>
    <row r="188" spans="1:15" s="28" customFormat="1" x14ac:dyDescent="0.25">
      <c r="A188" s="17"/>
      <c r="B188" s="29"/>
      <c r="C188" s="29"/>
      <c r="D188" s="29"/>
      <c r="E188" s="29"/>
      <c r="F188" s="29"/>
      <c r="G188" s="29"/>
      <c r="H188" s="33">
        <f t="shared" si="2"/>
        <v>1</v>
      </c>
      <c r="J188"/>
      <c r="K188"/>
      <c r="L188"/>
      <c r="M188"/>
      <c r="N188"/>
      <c r="O188"/>
    </row>
    <row r="189" spans="1:15" s="28" customFormat="1" x14ac:dyDescent="0.25">
      <c r="A189" s="17"/>
      <c r="B189" s="29"/>
      <c r="C189" s="29"/>
      <c r="D189" s="29"/>
      <c r="E189" s="29"/>
      <c r="F189" s="29"/>
      <c r="G189" s="29"/>
      <c r="H189" s="33">
        <f t="shared" si="2"/>
        <v>1</v>
      </c>
      <c r="J189"/>
      <c r="K189"/>
      <c r="L189"/>
      <c r="M189"/>
      <c r="N189"/>
      <c r="O189"/>
    </row>
    <row r="190" spans="1:15" s="28" customFormat="1" x14ac:dyDescent="0.25">
      <c r="A190" s="17"/>
      <c r="B190" s="29"/>
      <c r="C190" s="29"/>
      <c r="D190" s="29"/>
      <c r="E190" s="29"/>
      <c r="F190" s="29"/>
      <c r="G190" s="29"/>
      <c r="H190" s="33">
        <f t="shared" si="2"/>
        <v>1</v>
      </c>
      <c r="J190"/>
      <c r="K190"/>
      <c r="L190"/>
      <c r="M190"/>
      <c r="N190"/>
      <c r="O190"/>
    </row>
    <row r="191" spans="1:15" s="28" customFormat="1" x14ac:dyDescent="0.25">
      <c r="A191" s="17"/>
      <c r="B191" s="29"/>
      <c r="C191" s="29"/>
      <c r="D191" s="29"/>
      <c r="E191" s="29"/>
      <c r="F191" s="29"/>
      <c r="G191" s="29"/>
      <c r="H191" s="33">
        <f t="shared" si="2"/>
        <v>1</v>
      </c>
      <c r="J191"/>
      <c r="K191"/>
      <c r="L191"/>
      <c r="M191"/>
      <c r="N191"/>
      <c r="O191"/>
    </row>
    <row r="192" spans="1:15" s="28" customFormat="1" x14ac:dyDescent="0.25">
      <c r="A192" s="17"/>
      <c r="B192" s="29"/>
      <c r="C192" s="29"/>
      <c r="D192" s="29"/>
      <c r="E192" s="29"/>
      <c r="F192" s="29"/>
      <c r="G192" s="29"/>
      <c r="H192" s="33">
        <f t="shared" si="2"/>
        <v>1</v>
      </c>
      <c r="J192"/>
      <c r="K192"/>
      <c r="L192"/>
      <c r="M192"/>
      <c r="N192"/>
      <c r="O192"/>
    </row>
    <row r="193" spans="1:15" s="28" customFormat="1" x14ac:dyDescent="0.25">
      <c r="A193" s="17"/>
      <c r="B193" s="29"/>
      <c r="C193" s="29"/>
      <c r="D193" s="29"/>
      <c r="E193" s="29"/>
      <c r="F193" s="29"/>
      <c r="G193" s="29"/>
      <c r="H193" s="33">
        <f t="shared" si="2"/>
        <v>1</v>
      </c>
      <c r="J193"/>
      <c r="K193"/>
      <c r="L193"/>
      <c r="M193"/>
      <c r="N193"/>
      <c r="O193"/>
    </row>
    <row r="194" spans="1:15" s="28" customFormat="1" x14ac:dyDescent="0.25">
      <c r="A194" s="17"/>
      <c r="B194" s="29"/>
      <c r="C194" s="29"/>
      <c r="D194" s="29"/>
      <c r="E194" s="29"/>
      <c r="F194" s="29"/>
      <c r="G194" s="29"/>
      <c r="H194" s="33">
        <f t="shared" si="2"/>
        <v>1</v>
      </c>
      <c r="J194"/>
      <c r="K194"/>
      <c r="L194"/>
      <c r="M194"/>
      <c r="N194"/>
      <c r="O194"/>
    </row>
    <row r="195" spans="1:15" s="28" customFormat="1" x14ac:dyDescent="0.25">
      <c r="A195" s="17"/>
      <c r="B195" s="29"/>
      <c r="C195" s="29"/>
      <c r="D195" s="29"/>
      <c r="E195" s="29"/>
      <c r="F195" s="29"/>
      <c r="G195" s="29"/>
      <c r="H195" s="33">
        <f t="shared" si="2"/>
        <v>1</v>
      </c>
      <c r="J195"/>
      <c r="K195"/>
      <c r="L195"/>
      <c r="M195"/>
      <c r="N195"/>
      <c r="O195"/>
    </row>
    <row r="196" spans="1:15" s="28" customFormat="1" x14ac:dyDescent="0.25">
      <c r="A196" s="17"/>
      <c r="B196" s="29"/>
      <c r="C196" s="29"/>
      <c r="D196" s="29"/>
      <c r="E196" s="29"/>
      <c r="F196" s="29"/>
      <c r="G196" s="29"/>
      <c r="H196" s="33">
        <f t="shared" ref="H196:H200" si="3">H195</f>
        <v>1</v>
      </c>
      <c r="J196"/>
      <c r="K196"/>
      <c r="L196"/>
      <c r="M196"/>
      <c r="N196"/>
      <c r="O196"/>
    </row>
    <row r="197" spans="1:15" s="28" customFormat="1" x14ac:dyDescent="0.25">
      <c r="A197" s="17"/>
      <c r="B197" s="29"/>
      <c r="C197" s="29"/>
      <c r="D197" s="29"/>
      <c r="E197" s="29"/>
      <c r="F197" s="29"/>
      <c r="G197" s="29"/>
      <c r="H197" s="33">
        <f t="shared" si="3"/>
        <v>1</v>
      </c>
      <c r="J197"/>
      <c r="K197"/>
      <c r="L197"/>
      <c r="M197"/>
      <c r="N197"/>
      <c r="O197"/>
    </row>
    <row r="198" spans="1:15" s="28" customFormat="1" x14ac:dyDescent="0.25">
      <c r="A198" s="17"/>
      <c r="B198" s="29"/>
      <c r="C198" s="29"/>
      <c r="D198" s="29"/>
      <c r="E198" s="29"/>
      <c r="F198" s="29"/>
      <c r="G198" s="29"/>
      <c r="H198" s="33">
        <f t="shared" si="3"/>
        <v>1</v>
      </c>
      <c r="J198"/>
      <c r="K198"/>
      <c r="L198"/>
      <c r="M198"/>
      <c r="N198"/>
      <c r="O198"/>
    </row>
    <row r="199" spans="1:15" s="28" customFormat="1" x14ac:dyDescent="0.25">
      <c r="A199" s="17"/>
      <c r="B199" s="29"/>
      <c r="C199" s="29"/>
      <c r="D199" s="29"/>
      <c r="E199" s="29"/>
      <c r="F199" s="29"/>
      <c r="G199" s="29"/>
      <c r="H199" s="33">
        <f t="shared" si="3"/>
        <v>1</v>
      </c>
      <c r="J199"/>
      <c r="K199"/>
      <c r="L199"/>
      <c r="M199"/>
      <c r="N199"/>
      <c r="O199"/>
    </row>
    <row r="200" spans="1:15" s="28" customFormat="1" x14ac:dyDescent="0.25">
      <c r="A200" s="17"/>
      <c r="B200" s="29"/>
      <c r="C200" s="29"/>
      <c r="D200" s="29"/>
      <c r="E200" s="29"/>
      <c r="F200" s="29"/>
      <c r="G200" s="29"/>
      <c r="H200" s="33">
        <f t="shared" si="3"/>
        <v>1</v>
      </c>
      <c r="J200"/>
      <c r="K200"/>
      <c r="L200"/>
      <c r="M200"/>
      <c r="N200"/>
      <c r="O200"/>
    </row>
  </sheetData>
  <autoFilter ref="A2:O2" xr:uid="{4F8AD17D-C9BE-41CD-9A07-37EB2B00FC5F}"/>
  <conditionalFormatting sqref="K3:L128">
    <cfRule type="cellIs" dxfId="10" priority="3" operator="equal">
      <formula>"*****"</formula>
    </cfRule>
  </conditionalFormatting>
  <conditionalFormatting sqref="N3:O128">
    <cfRule type="cellIs" dxfId="9" priority="2" operator="equal">
      <formula>"*****"</formula>
    </cfRule>
  </conditionalFormatting>
  <conditionalFormatting sqref="H3:H200">
    <cfRule type="notContainsBlanks" dxfId="8" priority="1">
      <formula>LEN(TRIM(H3))&gt;0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4164-CCE3-475C-8C47-CFBE79B87AB8}">
  <dimension ref="A1:CU199"/>
  <sheetViews>
    <sheetView zoomScale="85" zoomScaleNormal="85" workbookViewId="0">
      <selection activeCell="F70" sqref="F70"/>
    </sheetView>
  </sheetViews>
  <sheetFormatPr defaultRowHeight="15" x14ac:dyDescent="0.25"/>
  <cols>
    <col min="2" max="2" width="15" style="30" bestFit="1" customWidth="1"/>
    <col min="5" max="5" width="16.28515625" style="30" bestFit="1" customWidth="1"/>
    <col min="8" max="97" width="0" hidden="1" customWidth="1"/>
    <col min="99" max="99" width="20.28515625" bestFit="1" customWidth="1"/>
    <col min="106" max="106" width="30" bestFit="1" customWidth="1"/>
    <col min="107" max="107" width="8" customWidth="1"/>
    <col min="108" max="108" width="30" bestFit="1" customWidth="1"/>
    <col min="110" max="110" width="9.28515625" customWidth="1"/>
  </cols>
  <sheetData>
    <row r="1" spans="1:99" x14ac:dyDescent="0.25">
      <c r="A1" t="s">
        <v>24</v>
      </c>
      <c r="B1" s="30" t="s">
        <v>25</v>
      </c>
      <c r="C1" t="s">
        <v>26</v>
      </c>
      <c r="D1" t="s">
        <v>27</v>
      </c>
      <c r="E1" s="30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  <c r="AM1" t="s">
        <v>62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69</v>
      </c>
      <c r="AU1" t="s">
        <v>70</v>
      </c>
      <c r="AV1" t="s">
        <v>71</v>
      </c>
      <c r="AW1" t="s">
        <v>72</v>
      </c>
      <c r="AX1" t="s">
        <v>73</v>
      </c>
      <c r="AY1" t="s">
        <v>74</v>
      </c>
      <c r="AZ1" t="s">
        <v>75</v>
      </c>
      <c r="BA1" t="s">
        <v>76</v>
      </c>
      <c r="BB1" t="s">
        <v>77</v>
      </c>
      <c r="BC1" t="s">
        <v>78</v>
      </c>
      <c r="BD1" t="s">
        <v>79</v>
      </c>
      <c r="BE1" t="s">
        <v>80</v>
      </c>
      <c r="BF1" t="s">
        <v>81</v>
      </c>
      <c r="BG1" t="s">
        <v>82</v>
      </c>
      <c r="BH1" t="s">
        <v>83</v>
      </c>
      <c r="BI1" t="s">
        <v>84</v>
      </c>
      <c r="BJ1" t="s">
        <v>85</v>
      </c>
      <c r="BK1" t="s">
        <v>86</v>
      </c>
      <c r="BL1" t="s">
        <v>87</v>
      </c>
      <c r="BM1" t="s">
        <v>88</v>
      </c>
      <c r="BN1" t="s">
        <v>89</v>
      </c>
      <c r="BO1" t="s">
        <v>90</v>
      </c>
      <c r="BP1" t="s">
        <v>91</v>
      </c>
      <c r="BQ1" t="s">
        <v>92</v>
      </c>
      <c r="BR1" t="s">
        <v>93</v>
      </c>
      <c r="BS1" t="s">
        <v>94</v>
      </c>
      <c r="BT1" t="s">
        <v>95</v>
      </c>
      <c r="BU1" t="s">
        <v>96</v>
      </c>
      <c r="BV1" t="s">
        <v>97</v>
      </c>
      <c r="BW1" t="s">
        <v>98</v>
      </c>
      <c r="BX1" t="s">
        <v>99</v>
      </c>
      <c r="BY1" t="s">
        <v>100</v>
      </c>
      <c r="BZ1" t="s">
        <v>101</v>
      </c>
      <c r="CA1" t="s">
        <v>102</v>
      </c>
      <c r="CB1" t="s">
        <v>103</v>
      </c>
      <c r="CC1" t="s">
        <v>104</v>
      </c>
      <c r="CD1" t="s">
        <v>105</v>
      </c>
      <c r="CE1" t="s">
        <v>106</v>
      </c>
      <c r="CF1" t="s">
        <v>107</v>
      </c>
      <c r="CG1" t="s">
        <v>108</v>
      </c>
      <c r="CH1" t="s">
        <v>109</v>
      </c>
      <c r="CI1" t="s">
        <v>110</v>
      </c>
      <c r="CJ1" t="s">
        <v>111</v>
      </c>
      <c r="CK1" t="s">
        <v>112</v>
      </c>
      <c r="CL1" t="s">
        <v>113</v>
      </c>
      <c r="CM1" t="s">
        <v>114</v>
      </c>
      <c r="CN1" t="s">
        <v>115</v>
      </c>
      <c r="CO1" t="s">
        <v>116</v>
      </c>
      <c r="CP1" t="s">
        <v>117</v>
      </c>
      <c r="CQ1" t="s">
        <v>118</v>
      </c>
      <c r="CR1" t="s">
        <v>119</v>
      </c>
      <c r="CS1" t="s">
        <v>120</v>
      </c>
      <c r="CT1" t="s">
        <v>121</v>
      </c>
      <c r="CU1" t="s">
        <v>136</v>
      </c>
    </row>
    <row r="2" spans="1:99" x14ac:dyDescent="0.25">
      <c r="A2" t="str">
        <f>IF('DADOS CSV'!J3="","",'DADOS CSV'!J3)</f>
        <v>.1</v>
      </c>
      <c r="B2" s="30" t="str">
        <f>IF('DADOS CSV'!K3="","",'DADOS CSV'!K3)</f>
        <v/>
      </c>
      <c r="C2">
        <v>9</v>
      </c>
      <c r="D2">
        <v>1</v>
      </c>
      <c r="E2" s="30" t="str">
        <f>IF('DADOS CSV'!L3="","",'DADOS CSV'!L3)</f>
        <v/>
      </c>
      <c r="F2">
        <v>15</v>
      </c>
      <c r="G2">
        <v>10</v>
      </c>
      <c r="CT2" t="s">
        <v>122</v>
      </c>
      <c r="CU2" s="33" t="str">
        <f>IFERROR(VLOOKUP(Procv!Q2,Procv!$C$1:$D$21,2,0),"")</f>
        <v/>
      </c>
    </row>
    <row r="3" spans="1:99" x14ac:dyDescent="0.25">
      <c r="A3" t="str">
        <f>IF('DADOS CSV'!J4="","",'DADOS CSV'!J4)</f>
        <v/>
      </c>
      <c r="B3" s="30" t="str">
        <f>IF('DADOS CSV'!K4="","",'DADOS CSV'!K4)</f>
        <v/>
      </c>
      <c r="C3" t="str">
        <f t="shared" ref="C3:C34" si="0">IF(A3="","",$C$2)</f>
        <v/>
      </c>
      <c r="D3" t="str">
        <f t="shared" ref="D3:D34" si="1">IF(A3="","",$D$2)</f>
        <v/>
      </c>
      <c r="E3" s="30" t="str">
        <f>IF('DADOS CSV'!L4="","",'DADOS CSV'!L4)</f>
        <v/>
      </c>
      <c r="F3" t="str">
        <f t="shared" ref="F3:F34" si="2">IF(A3="","",$F$2)</f>
        <v/>
      </c>
      <c r="G3" t="str">
        <f t="shared" ref="G3:G34" si="3">IF(A3="","",$G$2)</f>
        <v/>
      </c>
      <c r="CT3" t="str">
        <f t="shared" ref="CT3:CT34" si="4">IF(A3="","",$CT$2)</f>
        <v/>
      </c>
      <c r="CU3" s="33" t="str">
        <f>IFERROR(VLOOKUP(Procv!Q3,Procv!$C$1:$D$21,2,0),"")</f>
        <v/>
      </c>
    </row>
    <row r="4" spans="1:99" x14ac:dyDescent="0.25">
      <c r="A4" t="str">
        <f>IF('DADOS CSV'!J5="","",'DADOS CSV'!J5)</f>
        <v/>
      </c>
      <c r="B4" s="30" t="str">
        <f>IF('DADOS CSV'!K5="","",'DADOS CSV'!K5)</f>
        <v/>
      </c>
      <c r="C4" t="str">
        <f t="shared" si="0"/>
        <v/>
      </c>
      <c r="D4" t="str">
        <f t="shared" si="1"/>
        <v/>
      </c>
      <c r="E4" s="30" t="str">
        <f>IF('DADOS CSV'!L5="","",'DADOS CSV'!L5)</f>
        <v/>
      </c>
      <c r="F4" t="str">
        <f t="shared" si="2"/>
        <v/>
      </c>
      <c r="G4" t="str">
        <f t="shared" si="3"/>
        <v/>
      </c>
      <c r="CT4" t="str">
        <f t="shared" si="4"/>
        <v/>
      </c>
      <c r="CU4" s="33" t="str">
        <f>IFERROR(VLOOKUP(Procv!Q4,Procv!$C$1:$D$21,2,0),"")</f>
        <v/>
      </c>
    </row>
    <row r="5" spans="1:99" x14ac:dyDescent="0.25">
      <c r="A5" t="str">
        <f>IF('DADOS CSV'!J6="","",'DADOS CSV'!J6)</f>
        <v/>
      </c>
      <c r="B5" s="30" t="str">
        <f>IF('DADOS CSV'!K6="","",'DADOS CSV'!K6)</f>
        <v/>
      </c>
      <c r="C5" t="str">
        <f t="shared" si="0"/>
        <v/>
      </c>
      <c r="D5" t="str">
        <f t="shared" si="1"/>
        <v/>
      </c>
      <c r="E5" s="30" t="str">
        <f>IF('DADOS CSV'!L6="","",'DADOS CSV'!L6)</f>
        <v/>
      </c>
      <c r="F5" t="str">
        <f t="shared" si="2"/>
        <v/>
      </c>
      <c r="G5" t="str">
        <f t="shared" si="3"/>
        <v/>
      </c>
      <c r="CT5" t="str">
        <f t="shared" si="4"/>
        <v/>
      </c>
      <c r="CU5" s="33" t="str">
        <f>IFERROR(VLOOKUP(Procv!Q5,Procv!$C$1:$D$21,2,0),"")</f>
        <v/>
      </c>
    </row>
    <row r="6" spans="1:99" x14ac:dyDescent="0.25">
      <c r="A6" t="str">
        <f>IF('DADOS CSV'!J7="","",'DADOS CSV'!J7)</f>
        <v/>
      </c>
      <c r="B6" s="30" t="str">
        <f>IF('DADOS CSV'!K7="","",'DADOS CSV'!K7)</f>
        <v/>
      </c>
      <c r="C6" t="str">
        <f t="shared" si="0"/>
        <v/>
      </c>
      <c r="D6" t="str">
        <f t="shared" si="1"/>
        <v/>
      </c>
      <c r="E6" s="30" t="str">
        <f>IF('DADOS CSV'!L7="","",'DADOS CSV'!L7)</f>
        <v/>
      </c>
      <c r="F6" t="str">
        <f t="shared" si="2"/>
        <v/>
      </c>
      <c r="G6" t="str">
        <f t="shared" si="3"/>
        <v/>
      </c>
      <c r="CT6" t="str">
        <f t="shared" si="4"/>
        <v/>
      </c>
      <c r="CU6" s="33" t="str">
        <f>IFERROR(VLOOKUP(Procv!Q6,Procv!$C$1:$D$21,2,0),"")</f>
        <v/>
      </c>
    </row>
    <row r="7" spans="1:99" x14ac:dyDescent="0.25">
      <c r="A7" t="str">
        <f>IF('DADOS CSV'!J8="","",'DADOS CSV'!J8)</f>
        <v/>
      </c>
      <c r="B7" s="30" t="str">
        <f>IF('DADOS CSV'!K8="","",'DADOS CSV'!K8)</f>
        <v/>
      </c>
      <c r="C7" t="str">
        <f t="shared" si="0"/>
        <v/>
      </c>
      <c r="D7" t="str">
        <f t="shared" si="1"/>
        <v/>
      </c>
      <c r="E7" s="30" t="str">
        <f>IF('DADOS CSV'!L8="","",'DADOS CSV'!L8)</f>
        <v/>
      </c>
      <c r="F7" t="str">
        <f t="shared" si="2"/>
        <v/>
      </c>
      <c r="G7" t="str">
        <f t="shared" si="3"/>
        <v/>
      </c>
      <c r="CT7" t="str">
        <f t="shared" si="4"/>
        <v/>
      </c>
      <c r="CU7" s="33" t="str">
        <f>IFERROR(VLOOKUP(Procv!Q7,Procv!$C$1:$D$21,2,0),"")</f>
        <v/>
      </c>
    </row>
    <row r="8" spans="1:99" x14ac:dyDescent="0.25">
      <c r="A8" t="str">
        <f>IF('DADOS CSV'!J9="","",'DADOS CSV'!J9)</f>
        <v/>
      </c>
      <c r="B8" s="30" t="str">
        <f>IF('DADOS CSV'!K9="","",'DADOS CSV'!K9)</f>
        <v/>
      </c>
      <c r="C8" t="str">
        <f t="shared" si="0"/>
        <v/>
      </c>
      <c r="D8" t="str">
        <f t="shared" si="1"/>
        <v/>
      </c>
      <c r="E8" s="30" t="str">
        <f>IF('DADOS CSV'!L9="","",'DADOS CSV'!L9)</f>
        <v/>
      </c>
      <c r="F8" t="str">
        <f t="shared" si="2"/>
        <v/>
      </c>
      <c r="G8" t="str">
        <f t="shared" si="3"/>
        <v/>
      </c>
      <c r="CT8" t="str">
        <f t="shared" si="4"/>
        <v/>
      </c>
      <c r="CU8" s="33" t="str">
        <f>IFERROR(VLOOKUP(Procv!Q8,Procv!$C$1:$D$21,2,0),"")</f>
        <v/>
      </c>
    </row>
    <row r="9" spans="1:99" x14ac:dyDescent="0.25">
      <c r="A9" t="str">
        <f>IF('DADOS CSV'!J10="","",'DADOS CSV'!J10)</f>
        <v/>
      </c>
      <c r="B9" s="30" t="str">
        <f>IF('DADOS CSV'!K10="","",'DADOS CSV'!K10)</f>
        <v/>
      </c>
      <c r="C9" t="str">
        <f t="shared" si="0"/>
        <v/>
      </c>
      <c r="D9" t="str">
        <f t="shared" si="1"/>
        <v/>
      </c>
      <c r="E9" s="30" t="str">
        <f>IF('DADOS CSV'!L10="","",'DADOS CSV'!L10)</f>
        <v/>
      </c>
      <c r="F9" t="str">
        <f t="shared" si="2"/>
        <v/>
      </c>
      <c r="G9" t="str">
        <f t="shared" si="3"/>
        <v/>
      </c>
      <c r="CT9" t="str">
        <f t="shared" si="4"/>
        <v/>
      </c>
      <c r="CU9" s="33" t="str">
        <f>IFERROR(VLOOKUP(Procv!Q9,Procv!$C$1:$D$21,2,0),"")</f>
        <v/>
      </c>
    </row>
    <row r="10" spans="1:99" x14ac:dyDescent="0.25">
      <c r="A10" t="str">
        <f>IF('DADOS CSV'!J11="","",'DADOS CSV'!J11)</f>
        <v/>
      </c>
      <c r="B10" s="30" t="str">
        <f>IF('DADOS CSV'!K11="","",'DADOS CSV'!K11)</f>
        <v/>
      </c>
      <c r="C10" t="str">
        <f t="shared" si="0"/>
        <v/>
      </c>
      <c r="D10" t="str">
        <f t="shared" si="1"/>
        <v/>
      </c>
      <c r="E10" s="30" t="str">
        <f>IF('DADOS CSV'!L11="","",'DADOS CSV'!L11)</f>
        <v/>
      </c>
      <c r="F10" t="str">
        <f t="shared" si="2"/>
        <v/>
      </c>
      <c r="G10" t="str">
        <f t="shared" si="3"/>
        <v/>
      </c>
      <c r="CT10" t="str">
        <f t="shared" si="4"/>
        <v/>
      </c>
      <c r="CU10" s="33" t="str">
        <f>IFERROR(VLOOKUP(Procv!Q10,Procv!$C$1:$D$21,2,0),"")</f>
        <v/>
      </c>
    </row>
    <row r="11" spans="1:99" x14ac:dyDescent="0.25">
      <c r="A11" t="str">
        <f>IF('DADOS CSV'!J12="","",'DADOS CSV'!J12)</f>
        <v/>
      </c>
      <c r="B11" s="30" t="str">
        <f>IF('DADOS CSV'!K12="","",'DADOS CSV'!K12)</f>
        <v/>
      </c>
      <c r="C11" t="str">
        <f t="shared" si="0"/>
        <v/>
      </c>
      <c r="D11" t="str">
        <f t="shared" si="1"/>
        <v/>
      </c>
      <c r="E11" s="30" t="str">
        <f>IF('DADOS CSV'!L12="","",'DADOS CSV'!L12)</f>
        <v/>
      </c>
      <c r="F11" t="str">
        <f t="shared" si="2"/>
        <v/>
      </c>
      <c r="G11" t="str">
        <f t="shared" si="3"/>
        <v/>
      </c>
      <c r="CT11" t="str">
        <f t="shared" si="4"/>
        <v/>
      </c>
      <c r="CU11" s="33" t="str">
        <f>IFERROR(VLOOKUP(Procv!Q11,Procv!$C$1:$D$21,2,0),"")</f>
        <v/>
      </c>
    </row>
    <row r="12" spans="1:99" x14ac:dyDescent="0.25">
      <c r="A12" t="str">
        <f>IF('DADOS CSV'!J13="","",'DADOS CSV'!J13)</f>
        <v/>
      </c>
      <c r="B12" s="30" t="str">
        <f>IF('DADOS CSV'!K13="","",'DADOS CSV'!K13)</f>
        <v/>
      </c>
      <c r="C12" t="str">
        <f t="shared" si="0"/>
        <v/>
      </c>
      <c r="D12" t="str">
        <f t="shared" si="1"/>
        <v/>
      </c>
      <c r="E12" s="30" t="str">
        <f>IF('DADOS CSV'!L13="","",'DADOS CSV'!L13)</f>
        <v/>
      </c>
      <c r="F12" t="str">
        <f t="shared" si="2"/>
        <v/>
      </c>
      <c r="G12" t="str">
        <f t="shared" si="3"/>
        <v/>
      </c>
      <c r="CT12" t="str">
        <f t="shared" si="4"/>
        <v/>
      </c>
      <c r="CU12" s="33" t="str">
        <f>IFERROR(VLOOKUP(Procv!Q12,Procv!$C$1:$D$21,2,0),"")</f>
        <v/>
      </c>
    </row>
    <row r="13" spans="1:99" x14ac:dyDescent="0.25">
      <c r="A13" t="str">
        <f>IF('DADOS CSV'!J14="","",'DADOS CSV'!J14)</f>
        <v/>
      </c>
      <c r="B13" s="30" t="str">
        <f>IF('DADOS CSV'!K14="","",'DADOS CSV'!K14)</f>
        <v/>
      </c>
      <c r="C13" t="str">
        <f t="shared" si="0"/>
        <v/>
      </c>
      <c r="D13" t="str">
        <f t="shared" si="1"/>
        <v/>
      </c>
      <c r="E13" s="30" t="str">
        <f>IF('DADOS CSV'!L14="","",'DADOS CSV'!L14)</f>
        <v/>
      </c>
      <c r="F13" t="str">
        <f t="shared" si="2"/>
        <v/>
      </c>
      <c r="G13" t="str">
        <f t="shared" si="3"/>
        <v/>
      </c>
      <c r="CT13" t="str">
        <f t="shared" si="4"/>
        <v/>
      </c>
      <c r="CU13" s="33" t="str">
        <f>IFERROR(VLOOKUP(Procv!Q13,Procv!$C$1:$D$21,2,0),"")</f>
        <v/>
      </c>
    </row>
    <row r="14" spans="1:99" x14ac:dyDescent="0.25">
      <c r="A14" t="str">
        <f>IF('DADOS CSV'!J15="","",'DADOS CSV'!J15)</f>
        <v/>
      </c>
      <c r="B14" s="30" t="str">
        <f>IF('DADOS CSV'!K15="","",'DADOS CSV'!K15)</f>
        <v/>
      </c>
      <c r="C14" t="str">
        <f t="shared" si="0"/>
        <v/>
      </c>
      <c r="D14" t="str">
        <f t="shared" si="1"/>
        <v/>
      </c>
      <c r="E14" s="30" t="str">
        <f>IF('DADOS CSV'!L15="","",'DADOS CSV'!L15)</f>
        <v/>
      </c>
      <c r="F14" t="str">
        <f t="shared" si="2"/>
        <v/>
      </c>
      <c r="G14" t="str">
        <f t="shared" si="3"/>
        <v/>
      </c>
      <c r="CT14" t="str">
        <f t="shared" si="4"/>
        <v/>
      </c>
      <c r="CU14" s="33" t="str">
        <f>IFERROR(VLOOKUP(Procv!Q14,Procv!$C$1:$D$21,2,0),"")</f>
        <v/>
      </c>
    </row>
    <row r="15" spans="1:99" x14ac:dyDescent="0.25">
      <c r="A15" t="str">
        <f>IF('DADOS CSV'!J16="","",'DADOS CSV'!J16)</f>
        <v/>
      </c>
      <c r="B15" s="30" t="str">
        <f>IF('DADOS CSV'!K16="","",'DADOS CSV'!K16)</f>
        <v/>
      </c>
      <c r="C15" t="str">
        <f t="shared" si="0"/>
        <v/>
      </c>
      <c r="D15" t="str">
        <f t="shared" si="1"/>
        <v/>
      </c>
      <c r="E15" s="30" t="str">
        <f>IF('DADOS CSV'!L16="","",'DADOS CSV'!L16)</f>
        <v/>
      </c>
      <c r="F15" t="str">
        <f t="shared" si="2"/>
        <v/>
      </c>
      <c r="G15" t="str">
        <f t="shared" si="3"/>
        <v/>
      </c>
      <c r="CT15" t="str">
        <f t="shared" si="4"/>
        <v/>
      </c>
      <c r="CU15" s="33" t="str">
        <f>IFERROR(VLOOKUP(Procv!Q15,Procv!$C$1:$D$21,2,0),"")</f>
        <v/>
      </c>
    </row>
    <row r="16" spans="1:99" x14ac:dyDescent="0.25">
      <c r="A16" t="str">
        <f>IF('DADOS CSV'!J17="","",'DADOS CSV'!J17)</f>
        <v/>
      </c>
      <c r="B16" s="30" t="str">
        <f>IF('DADOS CSV'!K17="","",'DADOS CSV'!K17)</f>
        <v/>
      </c>
      <c r="C16" t="str">
        <f t="shared" si="0"/>
        <v/>
      </c>
      <c r="D16" t="str">
        <f t="shared" si="1"/>
        <v/>
      </c>
      <c r="E16" s="30" t="str">
        <f>IF('DADOS CSV'!L17="","",'DADOS CSV'!L17)</f>
        <v/>
      </c>
      <c r="F16" t="str">
        <f t="shared" si="2"/>
        <v/>
      </c>
      <c r="G16" t="str">
        <f t="shared" si="3"/>
        <v/>
      </c>
      <c r="CT16" t="str">
        <f t="shared" si="4"/>
        <v/>
      </c>
      <c r="CU16" s="33" t="str">
        <f>IFERROR(VLOOKUP(Procv!Q16,Procv!$C$1:$D$21,2,0),"")</f>
        <v/>
      </c>
    </row>
    <row r="17" spans="1:99" x14ac:dyDescent="0.25">
      <c r="A17" t="str">
        <f>IF('DADOS CSV'!J18="","",'DADOS CSV'!J18)</f>
        <v/>
      </c>
      <c r="B17" s="30" t="str">
        <f>IF('DADOS CSV'!K18="","",'DADOS CSV'!K18)</f>
        <v/>
      </c>
      <c r="C17" t="str">
        <f t="shared" si="0"/>
        <v/>
      </c>
      <c r="D17" t="str">
        <f t="shared" si="1"/>
        <v/>
      </c>
      <c r="E17" s="30" t="str">
        <f>IF('DADOS CSV'!L18="","",'DADOS CSV'!L18)</f>
        <v/>
      </c>
      <c r="F17" t="str">
        <f t="shared" si="2"/>
        <v/>
      </c>
      <c r="G17" t="str">
        <f t="shared" si="3"/>
        <v/>
      </c>
      <c r="CT17" t="str">
        <f t="shared" si="4"/>
        <v/>
      </c>
      <c r="CU17" s="33" t="str">
        <f>IFERROR(VLOOKUP(Procv!Q17,Procv!$C$1:$D$21,2,0),"")</f>
        <v/>
      </c>
    </row>
    <row r="18" spans="1:99" x14ac:dyDescent="0.25">
      <c r="A18" t="str">
        <f>IF('DADOS CSV'!J19="","",'DADOS CSV'!J19)</f>
        <v/>
      </c>
      <c r="B18" s="30" t="str">
        <f>IF('DADOS CSV'!K19="","",'DADOS CSV'!K19)</f>
        <v/>
      </c>
      <c r="C18" t="str">
        <f t="shared" si="0"/>
        <v/>
      </c>
      <c r="D18" t="str">
        <f t="shared" si="1"/>
        <v/>
      </c>
      <c r="E18" s="30" t="str">
        <f>IF('DADOS CSV'!L19="","",'DADOS CSV'!L19)</f>
        <v/>
      </c>
      <c r="F18" t="str">
        <f t="shared" si="2"/>
        <v/>
      </c>
      <c r="G18" t="str">
        <f t="shared" si="3"/>
        <v/>
      </c>
      <c r="CT18" t="str">
        <f t="shared" si="4"/>
        <v/>
      </c>
      <c r="CU18" s="33" t="str">
        <f>IFERROR(VLOOKUP(Procv!Q18,Procv!$C$1:$D$21,2,0),"")</f>
        <v/>
      </c>
    </row>
    <row r="19" spans="1:99" x14ac:dyDescent="0.25">
      <c r="A19" t="str">
        <f>IF('DADOS CSV'!J20="","",'DADOS CSV'!J20)</f>
        <v/>
      </c>
      <c r="B19" s="30" t="str">
        <f>IF('DADOS CSV'!K20="","",'DADOS CSV'!K20)</f>
        <v/>
      </c>
      <c r="C19" t="str">
        <f t="shared" si="0"/>
        <v/>
      </c>
      <c r="D19" t="str">
        <f t="shared" si="1"/>
        <v/>
      </c>
      <c r="E19" s="30" t="str">
        <f>IF('DADOS CSV'!L20="","",'DADOS CSV'!L20)</f>
        <v/>
      </c>
      <c r="F19" t="str">
        <f t="shared" si="2"/>
        <v/>
      </c>
      <c r="G19" t="str">
        <f t="shared" si="3"/>
        <v/>
      </c>
      <c r="CT19" t="str">
        <f t="shared" si="4"/>
        <v/>
      </c>
      <c r="CU19" s="33" t="str">
        <f>IFERROR(VLOOKUP(Procv!Q19,Procv!$C$1:$D$21,2,0),"")</f>
        <v/>
      </c>
    </row>
    <row r="20" spans="1:99" x14ac:dyDescent="0.25">
      <c r="A20" t="str">
        <f>IF('DADOS CSV'!J21="","",'DADOS CSV'!J21)</f>
        <v/>
      </c>
      <c r="B20" s="30" t="str">
        <f>IF('DADOS CSV'!K21="","",'DADOS CSV'!K21)</f>
        <v/>
      </c>
      <c r="C20" t="str">
        <f t="shared" si="0"/>
        <v/>
      </c>
      <c r="D20" t="str">
        <f t="shared" si="1"/>
        <v/>
      </c>
      <c r="E20" s="30" t="str">
        <f>IF('DADOS CSV'!L21="","",'DADOS CSV'!L21)</f>
        <v/>
      </c>
      <c r="F20" t="str">
        <f t="shared" si="2"/>
        <v/>
      </c>
      <c r="G20" t="str">
        <f t="shared" si="3"/>
        <v/>
      </c>
      <c r="CT20" t="str">
        <f t="shared" si="4"/>
        <v/>
      </c>
      <c r="CU20" s="33" t="str">
        <f>IFERROR(VLOOKUP(Procv!Q20,Procv!$C$1:$D$21,2,0),"")</f>
        <v/>
      </c>
    </row>
    <row r="21" spans="1:99" x14ac:dyDescent="0.25">
      <c r="A21" t="str">
        <f>IF('DADOS CSV'!J22="","",'DADOS CSV'!J22)</f>
        <v/>
      </c>
      <c r="B21" s="30" t="str">
        <f>IF('DADOS CSV'!K22="","",'DADOS CSV'!K22)</f>
        <v/>
      </c>
      <c r="C21" t="str">
        <f t="shared" si="0"/>
        <v/>
      </c>
      <c r="D21" t="str">
        <f t="shared" si="1"/>
        <v/>
      </c>
      <c r="E21" s="30" t="str">
        <f>IF('DADOS CSV'!L22="","",'DADOS CSV'!L22)</f>
        <v/>
      </c>
      <c r="F21" t="str">
        <f t="shared" si="2"/>
        <v/>
      </c>
      <c r="G21" t="str">
        <f t="shared" si="3"/>
        <v/>
      </c>
      <c r="CT21" t="str">
        <f t="shared" si="4"/>
        <v/>
      </c>
      <c r="CU21" s="33" t="str">
        <f>IFERROR(VLOOKUP(Procv!Q21,Procv!$C$1:$D$21,2,0),"")</f>
        <v/>
      </c>
    </row>
    <row r="22" spans="1:99" x14ac:dyDescent="0.25">
      <c r="A22" t="str">
        <f>IF('DADOS CSV'!J23="","",'DADOS CSV'!J23)</f>
        <v/>
      </c>
      <c r="B22" s="30" t="str">
        <f>IF('DADOS CSV'!K23="","",'DADOS CSV'!K23)</f>
        <v/>
      </c>
      <c r="C22" t="str">
        <f t="shared" si="0"/>
        <v/>
      </c>
      <c r="D22" t="str">
        <f t="shared" si="1"/>
        <v/>
      </c>
      <c r="E22" s="30" t="str">
        <f>IF('DADOS CSV'!L23="","",'DADOS CSV'!L23)</f>
        <v/>
      </c>
      <c r="F22" t="str">
        <f t="shared" si="2"/>
        <v/>
      </c>
      <c r="G22" t="str">
        <f t="shared" si="3"/>
        <v/>
      </c>
      <c r="CT22" t="str">
        <f t="shared" si="4"/>
        <v/>
      </c>
      <c r="CU22" s="33" t="str">
        <f>IFERROR(VLOOKUP(Procv!Q22,Procv!$C$1:$D$21,2,0),"")</f>
        <v/>
      </c>
    </row>
    <row r="23" spans="1:99" x14ac:dyDescent="0.25">
      <c r="A23" t="str">
        <f>IF('DADOS CSV'!J24="","",'DADOS CSV'!J24)</f>
        <v/>
      </c>
      <c r="B23" s="30" t="str">
        <f>IF('DADOS CSV'!K24="","",'DADOS CSV'!K24)</f>
        <v/>
      </c>
      <c r="C23" t="str">
        <f t="shared" si="0"/>
        <v/>
      </c>
      <c r="D23" t="str">
        <f t="shared" si="1"/>
        <v/>
      </c>
      <c r="E23" s="30" t="str">
        <f>IF('DADOS CSV'!L24="","",'DADOS CSV'!L24)</f>
        <v/>
      </c>
      <c r="F23" t="str">
        <f t="shared" si="2"/>
        <v/>
      </c>
      <c r="G23" t="str">
        <f t="shared" si="3"/>
        <v/>
      </c>
      <c r="CT23" t="str">
        <f t="shared" si="4"/>
        <v/>
      </c>
      <c r="CU23" s="33" t="str">
        <f>IFERROR(VLOOKUP(Procv!Q23,Procv!$C$1:$D$21,2,0),"")</f>
        <v/>
      </c>
    </row>
    <row r="24" spans="1:99" x14ac:dyDescent="0.25">
      <c r="A24" t="str">
        <f>IF('DADOS CSV'!J25="","",'DADOS CSV'!J25)</f>
        <v/>
      </c>
      <c r="B24" s="30" t="str">
        <f>IF('DADOS CSV'!K25="","",'DADOS CSV'!K25)</f>
        <v/>
      </c>
      <c r="C24" t="str">
        <f t="shared" si="0"/>
        <v/>
      </c>
      <c r="D24" t="str">
        <f t="shared" si="1"/>
        <v/>
      </c>
      <c r="E24" s="30" t="str">
        <f>IF('DADOS CSV'!L25="","",'DADOS CSV'!L25)</f>
        <v/>
      </c>
      <c r="F24" t="str">
        <f t="shared" si="2"/>
        <v/>
      </c>
      <c r="G24" t="str">
        <f t="shared" si="3"/>
        <v/>
      </c>
      <c r="CT24" t="str">
        <f t="shared" si="4"/>
        <v/>
      </c>
      <c r="CU24" s="33" t="str">
        <f>IFERROR(VLOOKUP(Procv!Q24,Procv!$C$1:$D$21,2,0),"")</f>
        <v/>
      </c>
    </row>
    <row r="25" spans="1:99" x14ac:dyDescent="0.25">
      <c r="A25" t="str">
        <f>IF('DADOS CSV'!J26="","",'DADOS CSV'!J26)</f>
        <v/>
      </c>
      <c r="B25" s="30" t="str">
        <f>IF('DADOS CSV'!K26="","",'DADOS CSV'!K26)</f>
        <v/>
      </c>
      <c r="C25" t="str">
        <f t="shared" si="0"/>
        <v/>
      </c>
      <c r="D25" t="str">
        <f t="shared" si="1"/>
        <v/>
      </c>
      <c r="E25" s="30" t="str">
        <f>IF('DADOS CSV'!L26="","",'DADOS CSV'!L26)</f>
        <v/>
      </c>
      <c r="F25" t="str">
        <f t="shared" si="2"/>
        <v/>
      </c>
      <c r="G25" t="str">
        <f t="shared" si="3"/>
        <v/>
      </c>
      <c r="CT25" t="str">
        <f t="shared" si="4"/>
        <v/>
      </c>
      <c r="CU25" s="33" t="str">
        <f>IFERROR(VLOOKUP(Procv!Q25,Procv!$C$1:$D$21,2,0),"")</f>
        <v/>
      </c>
    </row>
    <row r="26" spans="1:99" x14ac:dyDescent="0.25">
      <c r="A26" t="str">
        <f>IF('DADOS CSV'!J27="","",'DADOS CSV'!J27)</f>
        <v/>
      </c>
      <c r="B26" s="30" t="str">
        <f>IF('DADOS CSV'!K27="","",'DADOS CSV'!K27)</f>
        <v/>
      </c>
      <c r="C26" t="str">
        <f t="shared" si="0"/>
        <v/>
      </c>
      <c r="D26" t="str">
        <f t="shared" si="1"/>
        <v/>
      </c>
      <c r="E26" s="30" t="str">
        <f>IF('DADOS CSV'!L27="","",'DADOS CSV'!L27)</f>
        <v/>
      </c>
      <c r="F26" t="str">
        <f t="shared" si="2"/>
        <v/>
      </c>
      <c r="G26" t="str">
        <f t="shared" si="3"/>
        <v/>
      </c>
      <c r="CT26" t="str">
        <f t="shared" si="4"/>
        <v/>
      </c>
      <c r="CU26" s="33" t="str">
        <f>IFERROR(VLOOKUP(Procv!Q26,Procv!$C$1:$D$21,2,0),"")</f>
        <v/>
      </c>
    </row>
    <row r="27" spans="1:99" x14ac:dyDescent="0.25">
      <c r="A27" t="str">
        <f>IF('DADOS CSV'!J28="","",'DADOS CSV'!J28)</f>
        <v/>
      </c>
      <c r="B27" s="30" t="str">
        <f>IF('DADOS CSV'!K28="","",'DADOS CSV'!K28)</f>
        <v/>
      </c>
      <c r="C27" t="str">
        <f t="shared" si="0"/>
        <v/>
      </c>
      <c r="D27" t="str">
        <f t="shared" si="1"/>
        <v/>
      </c>
      <c r="E27" s="30" t="str">
        <f>IF('DADOS CSV'!L28="","",'DADOS CSV'!L28)</f>
        <v/>
      </c>
      <c r="F27" t="str">
        <f t="shared" si="2"/>
        <v/>
      </c>
      <c r="G27" t="str">
        <f t="shared" si="3"/>
        <v/>
      </c>
      <c r="CT27" t="str">
        <f t="shared" si="4"/>
        <v/>
      </c>
      <c r="CU27" s="33" t="str">
        <f>IFERROR(VLOOKUP(Procv!Q27,Procv!$C$1:$D$21,2,0),"")</f>
        <v/>
      </c>
    </row>
    <row r="28" spans="1:99" x14ac:dyDescent="0.25">
      <c r="A28" t="str">
        <f>IF('DADOS CSV'!J29="","",'DADOS CSV'!J29)</f>
        <v/>
      </c>
      <c r="B28" s="30" t="str">
        <f>IF('DADOS CSV'!K29="","",'DADOS CSV'!K29)</f>
        <v/>
      </c>
      <c r="C28" t="str">
        <f t="shared" si="0"/>
        <v/>
      </c>
      <c r="D28" t="str">
        <f t="shared" si="1"/>
        <v/>
      </c>
      <c r="E28" s="30" t="str">
        <f>IF('DADOS CSV'!L29="","",'DADOS CSV'!L29)</f>
        <v/>
      </c>
      <c r="F28" t="str">
        <f t="shared" si="2"/>
        <v/>
      </c>
      <c r="G28" t="str">
        <f t="shared" si="3"/>
        <v/>
      </c>
      <c r="CT28" t="str">
        <f t="shared" si="4"/>
        <v/>
      </c>
      <c r="CU28" s="33" t="str">
        <f>IFERROR(VLOOKUP(Procv!Q28,Procv!$C$1:$D$21,2,0),"")</f>
        <v/>
      </c>
    </row>
    <row r="29" spans="1:99" x14ac:dyDescent="0.25">
      <c r="A29" t="str">
        <f>IF('DADOS CSV'!J30="","",'DADOS CSV'!J30)</f>
        <v/>
      </c>
      <c r="B29" s="30" t="str">
        <f>IF('DADOS CSV'!K30="","",'DADOS CSV'!K30)</f>
        <v/>
      </c>
      <c r="C29" t="str">
        <f t="shared" si="0"/>
        <v/>
      </c>
      <c r="D29" t="str">
        <f t="shared" si="1"/>
        <v/>
      </c>
      <c r="E29" s="30" t="str">
        <f>IF('DADOS CSV'!L30="","",'DADOS CSV'!L30)</f>
        <v/>
      </c>
      <c r="F29" t="str">
        <f t="shared" si="2"/>
        <v/>
      </c>
      <c r="G29" t="str">
        <f t="shared" si="3"/>
        <v/>
      </c>
      <c r="CT29" t="str">
        <f t="shared" si="4"/>
        <v/>
      </c>
      <c r="CU29" s="33" t="str">
        <f>IFERROR(VLOOKUP(Procv!Q29,Procv!$C$1:$D$21,2,0),"")</f>
        <v/>
      </c>
    </row>
    <row r="30" spans="1:99" x14ac:dyDescent="0.25">
      <c r="A30" t="str">
        <f>IF('DADOS CSV'!J31="","",'DADOS CSV'!J31)</f>
        <v/>
      </c>
      <c r="B30" s="30" t="str">
        <f>IF('DADOS CSV'!K31="","",'DADOS CSV'!K31)</f>
        <v/>
      </c>
      <c r="C30" t="str">
        <f t="shared" si="0"/>
        <v/>
      </c>
      <c r="D30" t="str">
        <f t="shared" si="1"/>
        <v/>
      </c>
      <c r="E30" s="30" t="str">
        <f>IF('DADOS CSV'!L31="","",'DADOS CSV'!L31)</f>
        <v/>
      </c>
      <c r="F30" t="str">
        <f t="shared" si="2"/>
        <v/>
      </c>
      <c r="G30" t="str">
        <f t="shared" si="3"/>
        <v/>
      </c>
      <c r="CT30" t="str">
        <f t="shared" si="4"/>
        <v/>
      </c>
      <c r="CU30" s="33" t="str">
        <f>IFERROR(VLOOKUP(Procv!Q30,Procv!$C$1:$D$21,2,0),"")</f>
        <v/>
      </c>
    </row>
    <row r="31" spans="1:99" x14ac:dyDescent="0.25">
      <c r="A31" t="str">
        <f>IF('DADOS CSV'!J32="","",'DADOS CSV'!J32)</f>
        <v/>
      </c>
      <c r="B31" s="30" t="str">
        <f>IF('DADOS CSV'!K32="","",'DADOS CSV'!K32)</f>
        <v/>
      </c>
      <c r="C31" t="str">
        <f t="shared" si="0"/>
        <v/>
      </c>
      <c r="D31" t="str">
        <f t="shared" si="1"/>
        <v/>
      </c>
      <c r="E31" s="30" t="str">
        <f>IF('DADOS CSV'!L32="","",'DADOS CSV'!L32)</f>
        <v/>
      </c>
      <c r="F31" t="str">
        <f t="shared" si="2"/>
        <v/>
      </c>
      <c r="G31" t="str">
        <f t="shared" si="3"/>
        <v/>
      </c>
      <c r="CT31" t="str">
        <f t="shared" si="4"/>
        <v/>
      </c>
      <c r="CU31" s="33" t="str">
        <f>IFERROR(VLOOKUP(Procv!Q31,Procv!$C$1:$D$21,2,0),"")</f>
        <v/>
      </c>
    </row>
    <row r="32" spans="1:99" x14ac:dyDescent="0.25">
      <c r="A32" t="str">
        <f>IF('DADOS CSV'!J33="","",'DADOS CSV'!J33)</f>
        <v/>
      </c>
      <c r="B32" s="30" t="str">
        <f>IF('DADOS CSV'!K33="","",'DADOS CSV'!K33)</f>
        <v/>
      </c>
      <c r="C32" t="str">
        <f t="shared" si="0"/>
        <v/>
      </c>
      <c r="D32" t="str">
        <f t="shared" si="1"/>
        <v/>
      </c>
      <c r="E32" s="30" t="str">
        <f>IF('DADOS CSV'!L33="","",'DADOS CSV'!L33)</f>
        <v/>
      </c>
      <c r="F32" t="str">
        <f t="shared" si="2"/>
        <v/>
      </c>
      <c r="G32" t="str">
        <f t="shared" si="3"/>
        <v/>
      </c>
      <c r="CT32" t="str">
        <f t="shared" si="4"/>
        <v/>
      </c>
      <c r="CU32" s="33" t="str">
        <f>IFERROR(VLOOKUP(Procv!Q32,Procv!$C$1:$D$21,2,0),"")</f>
        <v/>
      </c>
    </row>
    <row r="33" spans="1:99" x14ac:dyDescent="0.25">
      <c r="A33" t="str">
        <f>IF('DADOS CSV'!J34="","",'DADOS CSV'!J34)</f>
        <v/>
      </c>
      <c r="B33" s="30" t="str">
        <f>IF('DADOS CSV'!K34="","",'DADOS CSV'!K34)</f>
        <v/>
      </c>
      <c r="C33" t="str">
        <f t="shared" si="0"/>
        <v/>
      </c>
      <c r="D33" t="str">
        <f t="shared" si="1"/>
        <v/>
      </c>
      <c r="E33" s="30" t="str">
        <f>IF('DADOS CSV'!L34="","",'DADOS CSV'!L34)</f>
        <v/>
      </c>
      <c r="F33" t="str">
        <f t="shared" si="2"/>
        <v/>
      </c>
      <c r="G33" t="str">
        <f t="shared" si="3"/>
        <v/>
      </c>
      <c r="CT33" t="str">
        <f t="shared" si="4"/>
        <v/>
      </c>
      <c r="CU33" s="33" t="str">
        <f>IFERROR(VLOOKUP(Procv!Q33,Procv!$C$1:$D$21,2,0),"")</f>
        <v/>
      </c>
    </row>
    <row r="34" spans="1:99" x14ac:dyDescent="0.25">
      <c r="A34" t="str">
        <f>IF('DADOS CSV'!J35="","",'DADOS CSV'!J35)</f>
        <v/>
      </c>
      <c r="B34" s="30" t="str">
        <f>IF('DADOS CSV'!K35="","",'DADOS CSV'!K35)</f>
        <v/>
      </c>
      <c r="C34" t="str">
        <f t="shared" si="0"/>
        <v/>
      </c>
      <c r="D34" t="str">
        <f t="shared" si="1"/>
        <v/>
      </c>
      <c r="E34" s="30" t="str">
        <f>IF('DADOS CSV'!L35="","",'DADOS CSV'!L35)</f>
        <v/>
      </c>
      <c r="F34" t="str">
        <f t="shared" si="2"/>
        <v/>
      </c>
      <c r="G34" t="str">
        <f t="shared" si="3"/>
        <v/>
      </c>
      <c r="CT34" t="str">
        <f t="shared" si="4"/>
        <v/>
      </c>
      <c r="CU34" s="33" t="str">
        <f>IFERROR(VLOOKUP(Procv!Q34,Procv!$C$1:$D$21,2,0),"")</f>
        <v/>
      </c>
    </row>
    <row r="35" spans="1:99" x14ac:dyDescent="0.25">
      <c r="A35" t="str">
        <f>IF('DADOS CSV'!J36="","",'DADOS CSV'!J36)</f>
        <v/>
      </c>
      <c r="B35" s="30" t="str">
        <f>IF('DADOS CSV'!K36="","",'DADOS CSV'!K36)</f>
        <v/>
      </c>
      <c r="C35" t="str">
        <f t="shared" ref="C35:C66" si="5">IF(A35="","",$C$2)</f>
        <v/>
      </c>
      <c r="D35" t="str">
        <f t="shared" ref="D35:D66" si="6">IF(A35="","",$D$2)</f>
        <v/>
      </c>
      <c r="E35" s="30" t="str">
        <f>IF('DADOS CSV'!L36="","",'DADOS CSV'!L36)</f>
        <v/>
      </c>
      <c r="F35" t="str">
        <f t="shared" ref="F35:F66" si="7">IF(A35="","",$F$2)</f>
        <v/>
      </c>
      <c r="G35" t="str">
        <f t="shared" ref="G35:G66" si="8">IF(A35="","",$G$2)</f>
        <v/>
      </c>
      <c r="CT35" t="str">
        <f t="shared" ref="CT35:CT66" si="9">IF(A35="","",$CT$2)</f>
        <v/>
      </c>
      <c r="CU35" s="33" t="str">
        <f>IFERROR(VLOOKUP(Procv!Q35,Procv!$C$1:$D$21,2,0),"")</f>
        <v/>
      </c>
    </row>
    <row r="36" spans="1:99" x14ac:dyDescent="0.25">
      <c r="A36" t="str">
        <f>IF('DADOS CSV'!J37="","",'DADOS CSV'!J37)</f>
        <v/>
      </c>
      <c r="B36" s="30" t="str">
        <f>IF('DADOS CSV'!K37="","",'DADOS CSV'!K37)</f>
        <v/>
      </c>
      <c r="C36" t="str">
        <f t="shared" si="5"/>
        <v/>
      </c>
      <c r="D36" t="str">
        <f t="shared" si="6"/>
        <v/>
      </c>
      <c r="E36" s="30" t="str">
        <f>IF('DADOS CSV'!L37="","",'DADOS CSV'!L37)</f>
        <v/>
      </c>
      <c r="F36" t="str">
        <f t="shared" si="7"/>
        <v/>
      </c>
      <c r="G36" t="str">
        <f t="shared" si="8"/>
        <v/>
      </c>
      <c r="CT36" t="str">
        <f t="shared" si="9"/>
        <v/>
      </c>
      <c r="CU36" s="33" t="str">
        <f>IFERROR(VLOOKUP(Procv!Q36,Procv!$C$1:$D$21,2,0),"")</f>
        <v/>
      </c>
    </row>
    <row r="37" spans="1:99" x14ac:dyDescent="0.25">
      <c r="A37" t="str">
        <f>IF('DADOS CSV'!J38="","",'DADOS CSV'!J38)</f>
        <v/>
      </c>
      <c r="B37" s="30" t="str">
        <f>IF('DADOS CSV'!K38="","",'DADOS CSV'!K38)</f>
        <v/>
      </c>
      <c r="C37" t="str">
        <f t="shared" si="5"/>
        <v/>
      </c>
      <c r="D37" t="str">
        <f t="shared" si="6"/>
        <v/>
      </c>
      <c r="E37" s="30" t="str">
        <f>IF('DADOS CSV'!L38="","",'DADOS CSV'!L38)</f>
        <v/>
      </c>
      <c r="F37" t="str">
        <f t="shared" si="7"/>
        <v/>
      </c>
      <c r="G37" t="str">
        <f t="shared" si="8"/>
        <v/>
      </c>
      <c r="CT37" t="str">
        <f t="shared" si="9"/>
        <v/>
      </c>
      <c r="CU37" s="33" t="str">
        <f>IFERROR(VLOOKUP(Procv!Q37,Procv!$C$1:$D$21,2,0),"")</f>
        <v/>
      </c>
    </row>
    <row r="38" spans="1:99" x14ac:dyDescent="0.25">
      <c r="A38" t="str">
        <f>IF('DADOS CSV'!J39="","",'DADOS CSV'!J39)</f>
        <v/>
      </c>
      <c r="B38" s="30" t="str">
        <f>IF('DADOS CSV'!K39="","",'DADOS CSV'!K39)</f>
        <v/>
      </c>
      <c r="C38" t="str">
        <f t="shared" si="5"/>
        <v/>
      </c>
      <c r="D38" t="str">
        <f t="shared" si="6"/>
        <v/>
      </c>
      <c r="E38" s="30" t="str">
        <f>IF('DADOS CSV'!L39="","",'DADOS CSV'!L39)</f>
        <v/>
      </c>
      <c r="F38" t="str">
        <f t="shared" si="7"/>
        <v/>
      </c>
      <c r="G38" t="str">
        <f t="shared" si="8"/>
        <v/>
      </c>
      <c r="CT38" t="str">
        <f t="shared" si="9"/>
        <v/>
      </c>
      <c r="CU38" s="33" t="str">
        <f>IFERROR(VLOOKUP(Procv!Q38,Procv!$C$1:$D$21,2,0),"")</f>
        <v/>
      </c>
    </row>
    <row r="39" spans="1:99" x14ac:dyDescent="0.25">
      <c r="A39" t="str">
        <f>IF('DADOS CSV'!J40="","",'DADOS CSV'!J40)</f>
        <v/>
      </c>
      <c r="B39" s="30" t="str">
        <f>IF('DADOS CSV'!K40="","",'DADOS CSV'!K40)</f>
        <v/>
      </c>
      <c r="C39" t="str">
        <f t="shared" si="5"/>
        <v/>
      </c>
      <c r="D39" t="str">
        <f t="shared" si="6"/>
        <v/>
      </c>
      <c r="E39" s="30" t="str">
        <f>IF('DADOS CSV'!L40="","",'DADOS CSV'!L40)</f>
        <v/>
      </c>
      <c r="F39" t="str">
        <f t="shared" si="7"/>
        <v/>
      </c>
      <c r="G39" t="str">
        <f t="shared" si="8"/>
        <v/>
      </c>
      <c r="CT39" t="str">
        <f t="shared" si="9"/>
        <v/>
      </c>
      <c r="CU39" s="33" t="str">
        <f>IFERROR(VLOOKUP(Procv!Q39,Procv!$C$1:$D$21,2,0),"")</f>
        <v/>
      </c>
    </row>
    <row r="40" spans="1:99" x14ac:dyDescent="0.25">
      <c r="A40" t="str">
        <f>IF('DADOS CSV'!J41="","",'DADOS CSV'!J41)</f>
        <v/>
      </c>
      <c r="B40" s="30" t="str">
        <f>IF('DADOS CSV'!K41="","",'DADOS CSV'!K41)</f>
        <v/>
      </c>
      <c r="C40" t="str">
        <f t="shared" si="5"/>
        <v/>
      </c>
      <c r="D40" t="str">
        <f t="shared" si="6"/>
        <v/>
      </c>
      <c r="E40" s="30" t="str">
        <f>IF('DADOS CSV'!L41="","",'DADOS CSV'!L41)</f>
        <v/>
      </c>
      <c r="F40" t="str">
        <f t="shared" si="7"/>
        <v/>
      </c>
      <c r="G40" t="str">
        <f t="shared" si="8"/>
        <v/>
      </c>
      <c r="CT40" t="str">
        <f t="shared" si="9"/>
        <v/>
      </c>
      <c r="CU40" s="33" t="str">
        <f>IFERROR(VLOOKUP(Procv!Q40,Procv!$C$1:$D$21,2,0),"")</f>
        <v/>
      </c>
    </row>
    <row r="41" spans="1:99" x14ac:dyDescent="0.25">
      <c r="A41" t="str">
        <f>IF('DADOS CSV'!J42="","",'DADOS CSV'!J42)</f>
        <v/>
      </c>
      <c r="B41" s="30" t="str">
        <f>IF('DADOS CSV'!K42="","",'DADOS CSV'!K42)</f>
        <v/>
      </c>
      <c r="C41" t="str">
        <f t="shared" si="5"/>
        <v/>
      </c>
      <c r="D41" t="str">
        <f t="shared" si="6"/>
        <v/>
      </c>
      <c r="E41" s="30" t="str">
        <f>IF('DADOS CSV'!L42="","",'DADOS CSV'!L42)</f>
        <v/>
      </c>
      <c r="F41" t="str">
        <f t="shared" si="7"/>
        <v/>
      </c>
      <c r="G41" t="str">
        <f t="shared" si="8"/>
        <v/>
      </c>
      <c r="CT41" t="str">
        <f t="shared" si="9"/>
        <v/>
      </c>
      <c r="CU41" s="33" t="str">
        <f>IFERROR(VLOOKUP(Procv!Q41,Procv!$C$1:$D$21,2,0),"")</f>
        <v/>
      </c>
    </row>
    <row r="42" spans="1:99" x14ac:dyDescent="0.25">
      <c r="A42" t="str">
        <f>IF('DADOS CSV'!J43="","",'DADOS CSV'!J43)</f>
        <v/>
      </c>
      <c r="B42" s="30" t="str">
        <f>IF('DADOS CSV'!K43="","",'DADOS CSV'!K43)</f>
        <v/>
      </c>
      <c r="C42" t="str">
        <f t="shared" si="5"/>
        <v/>
      </c>
      <c r="D42" t="str">
        <f t="shared" si="6"/>
        <v/>
      </c>
      <c r="E42" s="30" t="str">
        <f>IF('DADOS CSV'!L43="","",'DADOS CSV'!L43)</f>
        <v/>
      </c>
      <c r="F42" t="str">
        <f t="shared" si="7"/>
        <v/>
      </c>
      <c r="G42" t="str">
        <f t="shared" si="8"/>
        <v/>
      </c>
      <c r="CT42" t="str">
        <f t="shared" si="9"/>
        <v/>
      </c>
      <c r="CU42" s="33" t="str">
        <f>IFERROR(VLOOKUP(Procv!Q42,Procv!$C$1:$D$21,2,0),"")</f>
        <v/>
      </c>
    </row>
    <row r="43" spans="1:99" x14ac:dyDescent="0.25">
      <c r="A43" t="str">
        <f>IF('DADOS CSV'!J44="","",'DADOS CSV'!J44)</f>
        <v/>
      </c>
      <c r="B43" s="30" t="str">
        <f>IF('DADOS CSV'!K44="","",'DADOS CSV'!K44)</f>
        <v/>
      </c>
      <c r="C43" t="str">
        <f t="shared" si="5"/>
        <v/>
      </c>
      <c r="D43" t="str">
        <f t="shared" si="6"/>
        <v/>
      </c>
      <c r="E43" s="30" t="str">
        <f>IF('DADOS CSV'!L44="","",'DADOS CSV'!L44)</f>
        <v/>
      </c>
      <c r="F43" t="str">
        <f t="shared" si="7"/>
        <v/>
      </c>
      <c r="G43" t="str">
        <f t="shared" si="8"/>
        <v/>
      </c>
      <c r="CT43" t="str">
        <f t="shared" si="9"/>
        <v/>
      </c>
      <c r="CU43" s="33" t="str">
        <f>IFERROR(VLOOKUP(Procv!Q43,Procv!$C$1:$D$21,2,0),"")</f>
        <v/>
      </c>
    </row>
    <row r="44" spans="1:99" x14ac:dyDescent="0.25">
      <c r="A44" t="str">
        <f>IF('DADOS CSV'!J45="","",'DADOS CSV'!J45)</f>
        <v/>
      </c>
      <c r="B44" s="30" t="str">
        <f>IF('DADOS CSV'!K45="","",'DADOS CSV'!K45)</f>
        <v/>
      </c>
      <c r="C44" t="str">
        <f t="shared" si="5"/>
        <v/>
      </c>
      <c r="D44" t="str">
        <f t="shared" si="6"/>
        <v/>
      </c>
      <c r="E44" s="30" t="str">
        <f>IF('DADOS CSV'!L45="","",'DADOS CSV'!L45)</f>
        <v/>
      </c>
      <c r="F44" t="str">
        <f t="shared" si="7"/>
        <v/>
      </c>
      <c r="G44" t="str">
        <f t="shared" si="8"/>
        <v/>
      </c>
      <c r="CT44" t="str">
        <f t="shared" si="9"/>
        <v/>
      </c>
      <c r="CU44" s="33" t="str">
        <f>IFERROR(VLOOKUP(Procv!Q44,Procv!$C$1:$D$21,2,0),"")</f>
        <v/>
      </c>
    </row>
    <row r="45" spans="1:99" x14ac:dyDescent="0.25">
      <c r="A45" t="str">
        <f>IF('DADOS CSV'!J46="","",'DADOS CSV'!J46)</f>
        <v/>
      </c>
      <c r="B45" s="30" t="str">
        <f>IF('DADOS CSV'!K46="","",'DADOS CSV'!K46)</f>
        <v/>
      </c>
      <c r="C45" t="str">
        <f t="shared" si="5"/>
        <v/>
      </c>
      <c r="D45" t="str">
        <f t="shared" si="6"/>
        <v/>
      </c>
      <c r="E45" s="30" t="str">
        <f>IF('DADOS CSV'!L46="","",'DADOS CSV'!L46)</f>
        <v/>
      </c>
      <c r="F45" t="str">
        <f t="shared" si="7"/>
        <v/>
      </c>
      <c r="G45" t="str">
        <f t="shared" si="8"/>
        <v/>
      </c>
      <c r="CT45" t="str">
        <f t="shared" si="9"/>
        <v/>
      </c>
      <c r="CU45" s="33" t="str">
        <f>IFERROR(VLOOKUP(Procv!Q45,Procv!$C$1:$D$21,2,0),"")</f>
        <v/>
      </c>
    </row>
    <row r="46" spans="1:99" x14ac:dyDescent="0.25">
      <c r="A46" t="str">
        <f>IF('DADOS CSV'!J47="","",'DADOS CSV'!J47)</f>
        <v/>
      </c>
      <c r="B46" s="30" t="str">
        <f>IF('DADOS CSV'!K47="","",'DADOS CSV'!K47)</f>
        <v/>
      </c>
      <c r="C46" t="str">
        <f t="shared" si="5"/>
        <v/>
      </c>
      <c r="D46" t="str">
        <f t="shared" si="6"/>
        <v/>
      </c>
      <c r="E46" s="30" t="str">
        <f>IF('DADOS CSV'!L47="","",'DADOS CSV'!L47)</f>
        <v/>
      </c>
      <c r="F46" t="str">
        <f t="shared" si="7"/>
        <v/>
      </c>
      <c r="G46" t="str">
        <f t="shared" si="8"/>
        <v/>
      </c>
      <c r="CT46" t="str">
        <f t="shared" si="9"/>
        <v/>
      </c>
      <c r="CU46" s="33" t="str">
        <f>IFERROR(VLOOKUP(Procv!Q46,Procv!$C$1:$D$21,2,0),"")</f>
        <v/>
      </c>
    </row>
    <row r="47" spans="1:99" x14ac:dyDescent="0.25">
      <c r="A47" t="str">
        <f>IF('DADOS CSV'!J48="","",'DADOS CSV'!J48)</f>
        <v/>
      </c>
      <c r="B47" s="30" t="str">
        <f>IF('DADOS CSV'!K48="","",'DADOS CSV'!K48)</f>
        <v/>
      </c>
      <c r="C47" t="str">
        <f t="shared" si="5"/>
        <v/>
      </c>
      <c r="D47" t="str">
        <f t="shared" si="6"/>
        <v/>
      </c>
      <c r="E47" s="30" t="str">
        <f>IF('DADOS CSV'!L48="","",'DADOS CSV'!L48)</f>
        <v/>
      </c>
      <c r="F47" t="str">
        <f t="shared" si="7"/>
        <v/>
      </c>
      <c r="G47" t="str">
        <f t="shared" si="8"/>
        <v/>
      </c>
      <c r="CT47" t="str">
        <f t="shared" si="9"/>
        <v/>
      </c>
      <c r="CU47" s="33" t="str">
        <f>IFERROR(VLOOKUP(Procv!Q47,Procv!$C$1:$D$21,2,0),"")</f>
        <v/>
      </c>
    </row>
    <row r="48" spans="1:99" x14ac:dyDescent="0.25">
      <c r="A48" t="str">
        <f>IF('DADOS CSV'!J49="","",'DADOS CSV'!J49)</f>
        <v/>
      </c>
      <c r="B48" s="30" t="str">
        <f>IF('DADOS CSV'!K49="","",'DADOS CSV'!K49)</f>
        <v/>
      </c>
      <c r="C48" t="str">
        <f t="shared" si="5"/>
        <v/>
      </c>
      <c r="D48" t="str">
        <f t="shared" si="6"/>
        <v/>
      </c>
      <c r="E48" s="30" t="str">
        <f>IF('DADOS CSV'!L49="","",'DADOS CSV'!L49)</f>
        <v/>
      </c>
      <c r="F48" t="str">
        <f t="shared" si="7"/>
        <v/>
      </c>
      <c r="G48" t="str">
        <f t="shared" si="8"/>
        <v/>
      </c>
      <c r="CT48" t="str">
        <f t="shared" si="9"/>
        <v/>
      </c>
      <c r="CU48" s="33" t="str">
        <f>IFERROR(VLOOKUP(Procv!Q48,Procv!$C$1:$D$21,2,0),"")</f>
        <v/>
      </c>
    </row>
    <row r="49" spans="1:99" x14ac:dyDescent="0.25">
      <c r="A49" t="str">
        <f>IF('DADOS CSV'!J50="","",'DADOS CSV'!J50)</f>
        <v/>
      </c>
      <c r="B49" s="30" t="str">
        <f>IF('DADOS CSV'!K50="","",'DADOS CSV'!K50)</f>
        <v/>
      </c>
      <c r="C49" t="str">
        <f t="shared" si="5"/>
        <v/>
      </c>
      <c r="D49" t="str">
        <f t="shared" si="6"/>
        <v/>
      </c>
      <c r="E49" s="30" t="str">
        <f>IF('DADOS CSV'!L50="","",'DADOS CSV'!L50)</f>
        <v/>
      </c>
      <c r="F49" t="str">
        <f t="shared" si="7"/>
        <v/>
      </c>
      <c r="G49" t="str">
        <f t="shared" si="8"/>
        <v/>
      </c>
      <c r="CT49" t="str">
        <f t="shared" si="9"/>
        <v/>
      </c>
      <c r="CU49" s="33" t="str">
        <f>IFERROR(VLOOKUP(Procv!Q49,Procv!$C$1:$D$21,2,0),"")</f>
        <v/>
      </c>
    </row>
    <row r="50" spans="1:99" x14ac:dyDescent="0.25">
      <c r="A50" t="str">
        <f>IF('DADOS CSV'!J51="","",'DADOS CSV'!J51)</f>
        <v/>
      </c>
      <c r="B50" s="30" t="str">
        <f>IF('DADOS CSV'!K51="","",'DADOS CSV'!K51)</f>
        <v/>
      </c>
      <c r="C50" t="str">
        <f t="shared" si="5"/>
        <v/>
      </c>
      <c r="D50" t="str">
        <f t="shared" si="6"/>
        <v/>
      </c>
      <c r="E50" s="30" t="str">
        <f>IF('DADOS CSV'!L51="","",'DADOS CSV'!L51)</f>
        <v/>
      </c>
      <c r="F50" t="str">
        <f t="shared" si="7"/>
        <v/>
      </c>
      <c r="G50" t="str">
        <f t="shared" si="8"/>
        <v/>
      </c>
      <c r="CT50" t="str">
        <f t="shared" si="9"/>
        <v/>
      </c>
      <c r="CU50" s="33" t="str">
        <f>IFERROR(VLOOKUP(Procv!Q50,Procv!$C$1:$D$21,2,0),"")</f>
        <v/>
      </c>
    </row>
    <row r="51" spans="1:99" x14ac:dyDescent="0.25">
      <c r="A51" t="str">
        <f>IF('DADOS CSV'!J52="","",'DADOS CSV'!J52)</f>
        <v/>
      </c>
      <c r="B51" s="30" t="str">
        <f>IF('DADOS CSV'!K52="","",'DADOS CSV'!K52)</f>
        <v/>
      </c>
      <c r="C51" t="str">
        <f t="shared" si="5"/>
        <v/>
      </c>
      <c r="D51" t="str">
        <f t="shared" si="6"/>
        <v/>
      </c>
      <c r="E51" s="30" t="str">
        <f>IF('DADOS CSV'!L52="","",'DADOS CSV'!L52)</f>
        <v/>
      </c>
      <c r="F51" t="str">
        <f t="shared" si="7"/>
        <v/>
      </c>
      <c r="G51" t="str">
        <f t="shared" si="8"/>
        <v/>
      </c>
      <c r="CT51" t="str">
        <f t="shared" si="9"/>
        <v/>
      </c>
      <c r="CU51" s="33" t="str">
        <f>IFERROR(VLOOKUP(Procv!Q51,Procv!$C$1:$D$21,2,0),"")</f>
        <v/>
      </c>
    </row>
    <row r="52" spans="1:99" x14ac:dyDescent="0.25">
      <c r="A52" t="str">
        <f>IF('DADOS CSV'!J53="","",'DADOS CSV'!J53)</f>
        <v/>
      </c>
      <c r="B52" s="30" t="str">
        <f>IF('DADOS CSV'!K53="","",'DADOS CSV'!K53)</f>
        <v/>
      </c>
      <c r="C52" t="str">
        <f t="shared" si="5"/>
        <v/>
      </c>
      <c r="D52" t="str">
        <f t="shared" si="6"/>
        <v/>
      </c>
      <c r="E52" s="30" t="str">
        <f>IF('DADOS CSV'!L53="","",'DADOS CSV'!L53)</f>
        <v/>
      </c>
      <c r="F52" t="str">
        <f t="shared" si="7"/>
        <v/>
      </c>
      <c r="G52" t="str">
        <f t="shared" si="8"/>
        <v/>
      </c>
      <c r="CT52" t="str">
        <f t="shared" si="9"/>
        <v/>
      </c>
      <c r="CU52" s="33" t="str">
        <f>IFERROR(VLOOKUP(Procv!Q52,Procv!$C$1:$D$21,2,0),"")</f>
        <v/>
      </c>
    </row>
    <row r="53" spans="1:99" x14ac:dyDescent="0.25">
      <c r="A53" t="str">
        <f>IF('DADOS CSV'!J54="","",'DADOS CSV'!J54)</f>
        <v/>
      </c>
      <c r="B53" s="30" t="str">
        <f>IF('DADOS CSV'!K54="","",'DADOS CSV'!K54)</f>
        <v/>
      </c>
      <c r="C53" t="str">
        <f t="shared" si="5"/>
        <v/>
      </c>
      <c r="D53" t="str">
        <f t="shared" si="6"/>
        <v/>
      </c>
      <c r="E53" s="30" t="str">
        <f>IF('DADOS CSV'!L54="","",'DADOS CSV'!L54)</f>
        <v/>
      </c>
      <c r="F53" t="str">
        <f t="shared" si="7"/>
        <v/>
      </c>
      <c r="G53" t="str">
        <f t="shared" si="8"/>
        <v/>
      </c>
      <c r="CT53" t="str">
        <f t="shared" si="9"/>
        <v/>
      </c>
      <c r="CU53" s="33" t="str">
        <f>IFERROR(VLOOKUP(Procv!Q53,Procv!$C$1:$D$21,2,0),"")</f>
        <v/>
      </c>
    </row>
    <row r="54" spans="1:99" x14ac:dyDescent="0.25">
      <c r="A54" t="str">
        <f>IF('DADOS CSV'!J55="","",'DADOS CSV'!J55)</f>
        <v/>
      </c>
      <c r="B54" s="30" t="str">
        <f>IF('DADOS CSV'!K55="","",'DADOS CSV'!K55)</f>
        <v/>
      </c>
      <c r="C54" t="str">
        <f t="shared" si="5"/>
        <v/>
      </c>
      <c r="D54" t="str">
        <f t="shared" si="6"/>
        <v/>
      </c>
      <c r="E54" s="30" t="str">
        <f>IF('DADOS CSV'!L55="","",'DADOS CSV'!L55)</f>
        <v/>
      </c>
      <c r="F54" t="str">
        <f t="shared" si="7"/>
        <v/>
      </c>
      <c r="G54" t="str">
        <f t="shared" si="8"/>
        <v/>
      </c>
      <c r="CT54" t="str">
        <f t="shared" si="9"/>
        <v/>
      </c>
      <c r="CU54" s="33" t="str">
        <f>IFERROR(VLOOKUP(Procv!Q54,Procv!$C$1:$D$21,2,0),"")</f>
        <v/>
      </c>
    </row>
    <row r="55" spans="1:99" x14ac:dyDescent="0.25">
      <c r="A55" t="str">
        <f>IF('DADOS CSV'!J56="","",'DADOS CSV'!J56)</f>
        <v/>
      </c>
      <c r="B55" s="30" t="str">
        <f>IF('DADOS CSV'!K56="","",'DADOS CSV'!K56)</f>
        <v/>
      </c>
      <c r="C55" t="str">
        <f t="shared" si="5"/>
        <v/>
      </c>
      <c r="D55" t="str">
        <f t="shared" si="6"/>
        <v/>
      </c>
      <c r="E55" s="30" t="str">
        <f>IF('DADOS CSV'!L56="","",'DADOS CSV'!L56)</f>
        <v/>
      </c>
      <c r="F55" t="str">
        <f t="shared" si="7"/>
        <v/>
      </c>
      <c r="G55" t="str">
        <f t="shared" si="8"/>
        <v/>
      </c>
      <c r="CT55" t="str">
        <f t="shared" si="9"/>
        <v/>
      </c>
      <c r="CU55" s="33" t="str">
        <f>IFERROR(VLOOKUP(Procv!Q55,Procv!$C$1:$D$21,2,0),"")</f>
        <v/>
      </c>
    </row>
    <row r="56" spans="1:99" x14ac:dyDescent="0.25">
      <c r="A56" t="str">
        <f>IF('DADOS CSV'!J57="","",'DADOS CSV'!J57)</f>
        <v/>
      </c>
      <c r="B56" s="30" t="str">
        <f>IF('DADOS CSV'!K57="","",'DADOS CSV'!K57)</f>
        <v/>
      </c>
      <c r="C56" t="str">
        <f t="shared" si="5"/>
        <v/>
      </c>
      <c r="D56" t="str">
        <f t="shared" si="6"/>
        <v/>
      </c>
      <c r="E56" s="30" t="str">
        <f>IF('DADOS CSV'!L57="","",'DADOS CSV'!L57)</f>
        <v/>
      </c>
      <c r="F56" t="str">
        <f t="shared" si="7"/>
        <v/>
      </c>
      <c r="G56" t="str">
        <f t="shared" si="8"/>
        <v/>
      </c>
      <c r="CT56" t="str">
        <f t="shared" si="9"/>
        <v/>
      </c>
      <c r="CU56" s="33" t="str">
        <f>IFERROR(VLOOKUP(Procv!Q56,Procv!$C$1:$D$21,2,0),"")</f>
        <v/>
      </c>
    </row>
    <row r="57" spans="1:99" x14ac:dyDescent="0.25">
      <c r="A57" t="str">
        <f>IF('DADOS CSV'!J58="","",'DADOS CSV'!J58)</f>
        <v/>
      </c>
      <c r="B57" s="30" t="str">
        <f>IF('DADOS CSV'!K58="","",'DADOS CSV'!K58)</f>
        <v/>
      </c>
      <c r="C57" t="str">
        <f t="shared" si="5"/>
        <v/>
      </c>
      <c r="D57" t="str">
        <f t="shared" si="6"/>
        <v/>
      </c>
      <c r="E57" s="30" t="str">
        <f>IF('DADOS CSV'!L58="","",'DADOS CSV'!L58)</f>
        <v/>
      </c>
      <c r="F57" t="str">
        <f t="shared" si="7"/>
        <v/>
      </c>
      <c r="G57" t="str">
        <f t="shared" si="8"/>
        <v/>
      </c>
      <c r="CT57" t="str">
        <f t="shared" si="9"/>
        <v/>
      </c>
      <c r="CU57" s="33" t="str">
        <f>IFERROR(VLOOKUP(Procv!Q57,Procv!$C$1:$D$21,2,0),"")</f>
        <v/>
      </c>
    </row>
    <row r="58" spans="1:99" x14ac:dyDescent="0.25">
      <c r="A58" t="str">
        <f>IF('DADOS CSV'!J59="","",'DADOS CSV'!J59)</f>
        <v/>
      </c>
      <c r="B58" s="30" t="str">
        <f>IF('DADOS CSV'!K59="","",'DADOS CSV'!K59)</f>
        <v/>
      </c>
      <c r="C58" t="str">
        <f t="shared" si="5"/>
        <v/>
      </c>
      <c r="D58" t="str">
        <f t="shared" si="6"/>
        <v/>
      </c>
      <c r="E58" s="30" t="str">
        <f>IF('DADOS CSV'!L59="","",'DADOS CSV'!L59)</f>
        <v/>
      </c>
      <c r="F58" t="str">
        <f t="shared" si="7"/>
        <v/>
      </c>
      <c r="G58" t="str">
        <f t="shared" si="8"/>
        <v/>
      </c>
      <c r="CT58" t="str">
        <f t="shared" si="9"/>
        <v/>
      </c>
      <c r="CU58" s="33" t="str">
        <f>IFERROR(VLOOKUP(Procv!Q58,Procv!$C$1:$D$21,2,0),"")</f>
        <v/>
      </c>
    </row>
    <row r="59" spans="1:99" x14ac:dyDescent="0.25">
      <c r="A59" t="str">
        <f>IF('DADOS CSV'!J60="","",'DADOS CSV'!J60)</f>
        <v/>
      </c>
      <c r="B59" s="30" t="str">
        <f>IF('DADOS CSV'!K60="","",'DADOS CSV'!K60)</f>
        <v/>
      </c>
      <c r="C59" t="str">
        <f t="shared" si="5"/>
        <v/>
      </c>
      <c r="D59" t="str">
        <f t="shared" si="6"/>
        <v/>
      </c>
      <c r="E59" s="30" t="str">
        <f>IF('DADOS CSV'!L60="","",'DADOS CSV'!L60)</f>
        <v/>
      </c>
      <c r="F59" t="str">
        <f t="shared" si="7"/>
        <v/>
      </c>
      <c r="G59" t="str">
        <f t="shared" si="8"/>
        <v/>
      </c>
      <c r="CT59" t="str">
        <f t="shared" si="9"/>
        <v/>
      </c>
      <c r="CU59" s="33" t="str">
        <f>IFERROR(VLOOKUP(Procv!Q59,Procv!$C$1:$D$21,2,0),"")</f>
        <v/>
      </c>
    </row>
    <row r="60" spans="1:99" x14ac:dyDescent="0.25">
      <c r="A60" t="str">
        <f>IF('DADOS CSV'!J61="","",'DADOS CSV'!J61)</f>
        <v/>
      </c>
      <c r="B60" s="30" t="str">
        <f>IF('DADOS CSV'!K61="","",'DADOS CSV'!K61)</f>
        <v/>
      </c>
      <c r="C60" t="str">
        <f t="shared" si="5"/>
        <v/>
      </c>
      <c r="D60" t="str">
        <f t="shared" si="6"/>
        <v/>
      </c>
      <c r="E60" s="30" t="str">
        <f>IF('DADOS CSV'!L61="","",'DADOS CSV'!L61)</f>
        <v/>
      </c>
      <c r="F60" t="str">
        <f t="shared" si="7"/>
        <v/>
      </c>
      <c r="G60" t="str">
        <f t="shared" si="8"/>
        <v/>
      </c>
      <c r="CT60" t="str">
        <f t="shared" si="9"/>
        <v/>
      </c>
      <c r="CU60" s="33" t="str">
        <f>IFERROR(VLOOKUP(Procv!Q60,Procv!$C$1:$D$21,2,0),"")</f>
        <v/>
      </c>
    </row>
    <row r="61" spans="1:99" x14ac:dyDescent="0.25">
      <c r="A61" t="str">
        <f>IF('DADOS CSV'!J62="","",'DADOS CSV'!J62)</f>
        <v/>
      </c>
      <c r="B61" s="30" t="str">
        <f>IF('DADOS CSV'!K62="","",'DADOS CSV'!K62)</f>
        <v/>
      </c>
      <c r="C61" t="str">
        <f t="shared" si="5"/>
        <v/>
      </c>
      <c r="D61" t="str">
        <f t="shared" si="6"/>
        <v/>
      </c>
      <c r="E61" s="30" t="str">
        <f>IF('DADOS CSV'!L62="","",'DADOS CSV'!L62)</f>
        <v/>
      </c>
      <c r="F61" t="str">
        <f t="shared" si="7"/>
        <v/>
      </c>
      <c r="G61" t="str">
        <f t="shared" si="8"/>
        <v/>
      </c>
      <c r="CT61" t="str">
        <f t="shared" si="9"/>
        <v/>
      </c>
      <c r="CU61" s="33" t="str">
        <f>IFERROR(VLOOKUP(Procv!Q61,Procv!$C$1:$D$21,2,0),"")</f>
        <v/>
      </c>
    </row>
    <row r="62" spans="1:99" x14ac:dyDescent="0.25">
      <c r="A62" t="str">
        <f>IF('DADOS CSV'!J63="","",'DADOS CSV'!J63)</f>
        <v/>
      </c>
      <c r="B62" s="30" t="str">
        <f>IF('DADOS CSV'!K63="","",'DADOS CSV'!K63)</f>
        <v/>
      </c>
      <c r="C62" t="str">
        <f t="shared" si="5"/>
        <v/>
      </c>
      <c r="D62" t="str">
        <f t="shared" si="6"/>
        <v/>
      </c>
      <c r="E62" s="30" t="str">
        <f>IF('DADOS CSV'!L63="","",'DADOS CSV'!L63)</f>
        <v/>
      </c>
      <c r="F62" t="str">
        <f t="shared" si="7"/>
        <v/>
      </c>
      <c r="G62" t="str">
        <f t="shared" si="8"/>
        <v/>
      </c>
      <c r="CT62" t="str">
        <f t="shared" si="9"/>
        <v/>
      </c>
      <c r="CU62" s="33" t="str">
        <f>IFERROR(VLOOKUP(Procv!Q62,Procv!$C$1:$D$21,2,0),"")</f>
        <v/>
      </c>
    </row>
    <row r="63" spans="1:99" x14ac:dyDescent="0.25">
      <c r="A63" t="str">
        <f>IF('DADOS CSV'!J64="","",'DADOS CSV'!J64)</f>
        <v/>
      </c>
      <c r="B63" s="30" t="str">
        <f>IF('DADOS CSV'!K64="","",'DADOS CSV'!K64)</f>
        <v/>
      </c>
      <c r="C63" t="str">
        <f t="shared" si="5"/>
        <v/>
      </c>
      <c r="D63" t="str">
        <f t="shared" si="6"/>
        <v/>
      </c>
      <c r="E63" s="30" t="str">
        <f>IF('DADOS CSV'!L64="","",'DADOS CSV'!L64)</f>
        <v/>
      </c>
      <c r="F63" t="str">
        <f t="shared" si="7"/>
        <v/>
      </c>
      <c r="G63" t="str">
        <f t="shared" si="8"/>
        <v/>
      </c>
      <c r="CT63" t="str">
        <f t="shared" si="9"/>
        <v/>
      </c>
      <c r="CU63" s="33" t="str">
        <f>IFERROR(VLOOKUP(Procv!Q63,Procv!$C$1:$D$21,2,0),"")</f>
        <v/>
      </c>
    </row>
    <row r="64" spans="1:99" x14ac:dyDescent="0.25">
      <c r="A64" t="str">
        <f>IF('DADOS CSV'!J65="","",'DADOS CSV'!J65)</f>
        <v/>
      </c>
      <c r="B64" s="30" t="str">
        <f>IF('DADOS CSV'!K65="","",'DADOS CSV'!K65)</f>
        <v/>
      </c>
      <c r="C64" t="str">
        <f t="shared" si="5"/>
        <v/>
      </c>
      <c r="D64" t="str">
        <f t="shared" si="6"/>
        <v/>
      </c>
      <c r="E64" s="30" t="str">
        <f>IF('DADOS CSV'!L65="","",'DADOS CSV'!L65)</f>
        <v/>
      </c>
      <c r="F64" t="str">
        <f t="shared" si="7"/>
        <v/>
      </c>
      <c r="G64" t="str">
        <f t="shared" si="8"/>
        <v/>
      </c>
      <c r="CT64" t="str">
        <f t="shared" si="9"/>
        <v/>
      </c>
      <c r="CU64" s="33" t="str">
        <f>IFERROR(VLOOKUP(Procv!Q64,Procv!$C$1:$D$21,2,0),"")</f>
        <v/>
      </c>
    </row>
    <row r="65" spans="1:99" x14ac:dyDescent="0.25">
      <c r="A65" t="str">
        <f>IF('DADOS CSV'!J66="","",'DADOS CSV'!J66)</f>
        <v/>
      </c>
      <c r="B65" s="30" t="str">
        <f>IF('DADOS CSV'!K66="","",'DADOS CSV'!K66)</f>
        <v/>
      </c>
      <c r="C65" t="str">
        <f t="shared" si="5"/>
        <v/>
      </c>
      <c r="D65" t="str">
        <f t="shared" si="6"/>
        <v/>
      </c>
      <c r="E65" s="30" t="str">
        <f>IF('DADOS CSV'!L66="","",'DADOS CSV'!L66)</f>
        <v/>
      </c>
      <c r="F65" t="str">
        <f t="shared" si="7"/>
        <v/>
      </c>
      <c r="G65" t="str">
        <f t="shared" si="8"/>
        <v/>
      </c>
      <c r="CT65" t="str">
        <f t="shared" si="9"/>
        <v/>
      </c>
      <c r="CU65" s="33" t="str">
        <f>IFERROR(VLOOKUP(Procv!Q65,Procv!$C$1:$D$21,2,0),"")</f>
        <v/>
      </c>
    </row>
    <row r="66" spans="1:99" x14ac:dyDescent="0.25">
      <c r="A66" t="str">
        <f>IF('DADOS CSV'!J67="","",'DADOS CSV'!J67)</f>
        <v/>
      </c>
      <c r="B66" s="30" t="str">
        <f>IF('DADOS CSV'!K67="","",'DADOS CSV'!K67)</f>
        <v/>
      </c>
      <c r="C66" t="str">
        <f t="shared" si="5"/>
        <v/>
      </c>
      <c r="D66" t="str">
        <f t="shared" si="6"/>
        <v/>
      </c>
      <c r="E66" s="30" t="str">
        <f>IF('DADOS CSV'!L67="","",'DADOS CSV'!L67)</f>
        <v/>
      </c>
      <c r="F66" t="str">
        <f t="shared" si="7"/>
        <v/>
      </c>
      <c r="G66" t="str">
        <f t="shared" si="8"/>
        <v/>
      </c>
      <c r="CT66" t="str">
        <f t="shared" si="9"/>
        <v/>
      </c>
      <c r="CU66" s="33" t="str">
        <f>IFERROR(VLOOKUP(Procv!Q66,Procv!$C$1:$D$21,2,0),"")</f>
        <v/>
      </c>
    </row>
    <row r="67" spans="1:99" x14ac:dyDescent="0.25">
      <c r="A67" t="str">
        <f>IF('DADOS CSV'!J68="","",'DADOS CSV'!J68)</f>
        <v/>
      </c>
      <c r="B67" s="30" t="str">
        <f>IF('DADOS CSV'!K68="","",'DADOS CSV'!K68)</f>
        <v/>
      </c>
      <c r="C67" t="str">
        <f t="shared" ref="C67:C98" si="10">IF(A67="","",$C$2)</f>
        <v/>
      </c>
      <c r="D67" t="str">
        <f t="shared" ref="D67:D98" si="11">IF(A67="","",$D$2)</f>
        <v/>
      </c>
      <c r="E67" s="30" t="str">
        <f>IF('DADOS CSV'!L68="","",'DADOS CSV'!L68)</f>
        <v/>
      </c>
      <c r="F67" t="str">
        <f t="shared" ref="F67:F98" si="12">IF(A67="","",$F$2)</f>
        <v/>
      </c>
      <c r="G67" t="str">
        <f t="shared" ref="G67:G98" si="13">IF(A67="","",$G$2)</f>
        <v/>
      </c>
      <c r="CT67" t="str">
        <f t="shared" ref="CT67:CT98" si="14">IF(A67="","",$CT$2)</f>
        <v/>
      </c>
      <c r="CU67" s="33" t="str">
        <f>IFERROR(VLOOKUP(Procv!Q67,Procv!$C$1:$D$21,2,0),"")</f>
        <v/>
      </c>
    </row>
    <row r="68" spans="1:99" x14ac:dyDescent="0.25">
      <c r="A68" t="str">
        <f>IF('DADOS CSV'!J69="","",'DADOS CSV'!J69)</f>
        <v/>
      </c>
      <c r="B68" s="30" t="str">
        <f>IF('DADOS CSV'!K69="","",'DADOS CSV'!K69)</f>
        <v/>
      </c>
      <c r="C68" t="str">
        <f t="shared" si="10"/>
        <v/>
      </c>
      <c r="D68" t="str">
        <f t="shared" si="11"/>
        <v/>
      </c>
      <c r="E68" s="30" t="str">
        <f>IF('DADOS CSV'!L69="","",'DADOS CSV'!L69)</f>
        <v/>
      </c>
      <c r="F68" t="str">
        <f t="shared" si="12"/>
        <v/>
      </c>
      <c r="G68" t="str">
        <f t="shared" si="13"/>
        <v/>
      </c>
      <c r="CT68" t="str">
        <f t="shared" si="14"/>
        <v/>
      </c>
      <c r="CU68" s="33" t="str">
        <f>IFERROR(VLOOKUP(Procv!Q68,Procv!$C$1:$D$21,2,0),"")</f>
        <v/>
      </c>
    </row>
    <row r="69" spans="1:99" x14ac:dyDescent="0.25">
      <c r="A69" t="str">
        <f>IF('DADOS CSV'!J70="","",'DADOS CSV'!J70)</f>
        <v/>
      </c>
      <c r="B69" s="30" t="str">
        <f>IF('DADOS CSV'!K70="","",'DADOS CSV'!K70)</f>
        <v/>
      </c>
      <c r="C69" t="str">
        <f t="shared" si="10"/>
        <v/>
      </c>
      <c r="D69" t="str">
        <f t="shared" si="11"/>
        <v/>
      </c>
      <c r="E69" s="30" t="str">
        <f>IF('DADOS CSV'!L70="","",'DADOS CSV'!L70)</f>
        <v/>
      </c>
      <c r="F69" t="str">
        <f t="shared" si="12"/>
        <v/>
      </c>
      <c r="G69" t="str">
        <f t="shared" si="13"/>
        <v/>
      </c>
      <c r="CT69" t="str">
        <f t="shared" si="14"/>
        <v/>
      </c>
      <c r="CU69" s="33" t="str">
        <f>IFERROR(VLOOKUP(Procv!Q69,Procv!$C$1:$D$21,2,0),"")</f>
        <v/>
      </c>
    </row>
    <row r="70" spans="1:99" x14ac:dyDescent="0.25">
      <c r="A70" t="str">
        <f>IF('DADOS CSV'!J71="","",'DADOS CSV'!J71)</f>
        <v/>
      </c>
      <c r="B70" s="30" t="str">
        <f>IF('DADOS CSV'!K71="","",'DADOS CSV'!K71)</f>
        <v/>
      </c>
      <c r="C70" t="str">
        <f t="shared" si="10"/>
        <v/>
      </c>
      <c r="D70" t="str">
        <f t="shared" si="11"/>
        <v/>
      </c>
      <c r="E70" s="30" t="str">
        <f>IF('DADOS CSV'!L71="","",'DADOS CSV'!L71)</f>
        <v/>
      </c>
      <c r="F70" t="str">
        <f t="shared" si="12"/>
        <v/>
      </c>
      <c r="G70" t="str">
        <f t="shared" si="13"/>
        <v/>
      </c>
      <c r="CT70" t="str">
        <f t="shared" si="14"/>
        <v/>
      </c>
      <c r="CU70" s="33" t="str">
        <f>IFERROR(VLOOKUP(Procv!Q70,Procv!$C$1:$D$21,2,0),"")</f>
        <v/>
      </c>
    </row>
    <row r="71" spans="1:99" x14ac:dyDescent="0.25">
      <c r="A71" t="str">
        <f>IF('DADOS CSV'!J72="","",'DADOS CSV'!J72)</f>
        <v/>
      </c>
      <c r="B71" s="30" t="str">
        <f>IF('DADOS CSV'!K72="","",'DADOS CSV'!K72)</f>
        <v/>
      </c>
      <c r="C71" t="str">
        <f t="shared" si="10"/>
        <v/>
      </c>
      <c r="D71" t="str">
        <f t="shared" si="11"/>
        <v/>
      </c>
      <c r="E71" s="30" t="str">
        <f>IF('DADOS CSV'!L72="","",'DADOS CSV'!L72)</f>
        <v/>
      </c>
      <c r="F71" t="str">
        <f t="shared" si="12"/>
        <v/>
      </c>
      <c r="G71" t="str">
        <f t="shared" si="13"/>
        <v/>
      </c>
      <c r="CT71" t="str">
        <f t="shared" si="14"/>
        <v/>
      </c>
      <c r="CU71" s="33" t="str">
        <f>IFERROR(VLOOKUP(Procv!Q71,Procv!$C$1:$D$21,2,0),"")</f>
        <v/>
      </c>
    </row>
    <row r="72" spans="1:99" x14ac:dyDescent="0.25">
      <c r="A72" t="str">
        <f>IF('DADOS CSV'!J73="","",'DADOS CSV'!J73)</f>
        <v/>
      </c>
      <c r="B72" s="30" t="str">
        <f>IF('DADOS CSV'!K73="","",'DADOS CSV'!K73)</f>
        <v/>
      </c>
      <c r="C72" t="str">
        <f t="shared" si="10"/>
        <v/>
      </c>
      <c r="D72" t="str">
        <f t="shared" si="11"/>
        <v/>
      </c>
      <c r="E72" s="30" t="str">
        <f>IF('DADOS CSV'!L73="","",'DADOS CSV'!L73)</f>
        <v/>
      </c>
      <c r="F72" t="str">
        <f t="shared" si="12"/>
        <v/>
      </c>
      <c r="G72" t="str">
        <f t="shared" si="13"/>
        <v/>
      </c>
      <c r="CT72" t="str">
        <f t="shared" si="14"/>
        <v/>
      </c>
      <c r="CU72" s="33" t="str">
        <f>IFERROR(VLOOKUP(Procv!Q72,Procv!$C$1:$D$21,2,0),"")</f>
        <v/>
      </c>
    </row>
    <row r="73" spans="1:99" x14ac:dyDescent="0.25">
      <c r="A73" t="str">
        <f>IF('DADOS CSV'!J74="","",'DADOS CSV'!J74)</f>
        <v/>
      </c>
      <c r="B73" s="30" t="str">
        <f>IF('DADOS CSV'!K74="","",'DADOS CSV'!K74)</f>
        <v/>
      </c>
      <c r="C73" t="str">
        <f t="shared" si="10"/>
        <v/>
      </c>
      <c r="D73" t="str">
        <f t="shared" si="11"/>
        <v/>
      </c>
      <c r="E73" s="30" t="str">
        <f>IF('DADOS CSV'!L74="","",'DADOS CSV'!L74)</f>
        <v/>
      </c>
      <c r="F73" t="str">
        <f t="shared" si="12"/>
        <v/>
      </c>
      <c r="G73" t="str">
        <f t="shared" si="13"/>
        <v/>
      </c>
      <c r="CT73" t="str">
        <f t="shared" si="14"/>
        <v/>
      </c>
      <c r="CU73" s="33" t="str">
        <f>IFERROR(VLOOKUP(Procv!Q73,Procv!$C$1:$D$21,2,0),"")</f>
        <v/>
      </c>
    </row>
    <row r="74" spans="1:99" x14ac:dyDescent="0.25">
      <c r="A74" t="str">
        <f>IF('DADOS CSV'!J75="","",'DADOS CSV'!J75)</f>
        <v/>
      </c>
      <c r="B74" s="30" t="str">
        <f>IF('DADOS CSV'!K75="","",'DADOS CSV'!K75)</f>
        <v/>
      </c>
      <c r="C74" t="str">
        <f t="shared" si="10"/>
        <v/>
      </c>
      <c r="D74" t="str">
        <f t="shared" si="11"/>
        <v/>
      </c>
      <c r="E74" s="30" t="str">
        <f>IF('DADOS CSV'!L75="","",'DADOS CSV'!L75)</f>
        <v/>
      </c>
      <c r="F74" t="str">
        <f t="shared" si="12"/>
        <v/>
      </c>
      <c r="G74" t="str">
        <f t="shared" si="13"/>
        <v/>
      </c>
      <c r="CT74" t="str">
        <f t="shared" si="14"/>
        <v/>
      </c>
      <c r="CU74" s="33" t="str">
        <f>IFERROR(VLOOKUP(Procv!Q74,Procv!$C$1:$D$21,2,0),"")</f>
        <v/>
      </c>
    </row>
    <row r="75" spans="1:99" x14ac:dyDescent="0.25">
      <c r="A75" t="str">
        <f>IF('DADOS CSV'!J76="","",'DADOS CSV'!J76)</f>
        <v/>
      </c>
      <c r="B75" s="30" t="str">
        <f>IF('DADOS CSV'!K76="","",'DADOS CSV'!K76)</f>
        <v/>
      </c>
      <c r="C75" t="str">
        <f t="shared" si="10"/>
        <v/>
      </c>
      <c r="D75" t="str">
        <f t="shared" si="11"/>
        <v/>
      </c>
      <c r="E75" s="30" t="str">
        <f>IF('DADOS CSV'!L76="","",'DADOS CSV'!L76)</f>
        <v/>
      </c>
      <c r="F75" t="str">
        <f t="shared" si="12"/>
        <v/>
      </c>
      <c r="G75" t="str">
        <f t="shared" si="13"/>
        <v/>
      </c>
      <c r="CT75" t="str">
        <f t="shared" si="14"/>
        <v/>
      </c>
      <c r="CU75" s="33" t="str">
        <f>IFERROR(VLOOKUP(Procv!Q75,Procv!$C$1:$D$21,2,0),"")</f>
        <v/>
      </c>
    </row>
    <row r="76" spans="1:99" x14ac:dyDescent="0.25">
      <c r="A76" t="str">
        <f>IF('DADOS CSV'!J77="","",'DADOS CSV'!J77)</f>
        <v/>
      </c>
      <c r="B76" s="30" t="str">
        <f>IF('DADOS CSV'!K77="","",'DADOS CSV'!K77)</f>
        <v/>
      </c>
      <c r="C76" t="str">
        <f t="shared" si="10"/>
        <v/>
      </c>
      <c r="D76" t="str">
        <f t="shared" si="11"/>
        <v/>
      </c>
      <c r="E76" s="30" t="str">
        <f>IF('DADOS CSV'!L77="","",'DADOS CSV'!L77)</f>
        <v/>
      </c>
      <c r="F76" t="str">
        <f t="shared" si="12"/>
        <v/>
      </c>
      <c r="G76" t="str">
        <f t="shared" si="13"/>
        <v/>
      </c>
      <c r="CT76" t="str">
        <f t="shared" si="14"/>
        <v/>
      </c>
      <c r="CU76" s="33" t="str">
        <f>IFERROR(VLOOKUP(Procv!Q76,Procv!$C$1:$D$21,2,0),"")</f>
        <v/>
      </c>
    </row>
    <row r="77" spans="1:99" x14ac:dyDescent="0.25">
      <c r="A77" t="str">
        <f>IF('DADOS CSV'!J78="","",'DADOS CSV'!J78)</f>
        <v/>
      </c>
      <c r="B77" s="30" t="str">
        <f>IF('DADOS CSV'!K78="","",'DADOS CSV'!K78)</f>
        <v/>
      </c>
      <c r="C77" t="str">
        <f t="shared" si="10"/>
        <v/>
      </c>
      <c r="D77" t="str">
        <f t="shared" si="11"/>
        <v/>
      </c>
      <c r="E77" s="30" t="str">
        <f>IF('DADOS CSV'!L78="","",'DADOS CSV'!L78)</f>
        <v/>
      </c>
      <c r="F77" t="str">
        <f t="shared" si="12"/>
        <v/>
      </c>
      <c r="G77" t="str">
        <f t="shared" si="13"/>
        <v/>
      </c>
      <c r="CT77" t="str">
        <f t="shared" si="14"/>
        <v/>
      </c>
      <c r="CU77" s="33" t="str">
        <f>IFERROR(VLOOKUP(Procv!Q77,Procv!$C$1:$D$21,2,0),"")</f>
        <v/>
      </c>
    </row>
    <row r="78" spans="1:99" x14ac:dyDescent="0.25">
      <c r="A78" t="str">
        <f>IF('DADOS CSV'!J79="","",'DADOS CSV'!J79)</f>
        <v/>
      </c>
      <c r="B78" s="30" t="str">
        <f>IF('DADOS CSV'!K79="","",'DADOS CSV'!K79)</f>
        <v/>
      </c>
      <c r="C78" t="str">
        <f t="shared" si="10"/>
        <v/>
      </c>
      <c r="D78" t="str">
        <f t="shared" si="11"/>
        <v/>
      </c>
      <c r="E78" s="30" t="str">
        <f>IF('DADOS CSV'!L79="","",'DADOS CSV'!L79)</f>
        <v/>
      </c>
      <c r="F78" t="str">
        <f t="shared" si="12"/>
        <v/>
      </c>
      <c r="G78" t="str">
        <f t="shared" si="13"/>
        <v/>
      </c>
      <c r="CT78" t="str">
        <f t="shared" si="14"/>
        <v/>
      </c>
      <c r="CU78" s="33" t="str">
        <f>IFERROR(VLOOKUP(Procv!Q78,Procv!$C$1:$D$21,2,0),"")</f>
        <v/>
      </c>
    </row>
    <row r="79" spans="1:99" x14ac:dyDescent="0.25">
      <c r="A79" t="str">
        <f>IF('DADOS CSV'!J80="","",'DADOS CSV'!J80)</f>
        <v/>
      </c>
      <c r="B79" s="30" t="str">
        <f>IF('DADOS CSV'!K80="","",'DADOS CSV'!K80)</f>
        <v/>
      </c>
      <c r="C79" t="str">
        <f t="shared" si="10"/>
        <v/>
      </c>
      <c r="D79" t="str">
        <f t="shared" si="11"/>
        <v/>
      </c>
      <c r="E79" s="30" t="str">
        <f>IF('DADOS CSV'!L80="","",'DADOS CSV'!L80)</f>
        <v/>
      </c>
      <c r="F79" t="str">
        <f t="shared" si="12"/>
        <v/>
      </c>
      <c r="G79" t="str">
        <f t="shared" si="13"/>
        <v/>
      </c>
      <c r="CT79" t="str">
        <f t="shared" si="14"/>
        <v/>
      </c>
      <c r="CU79" s="33" t="str">
        <f>IFERROR(VLOOKUP(Procv!Q79,Procv!$C$1:$D$21,2,0),"")</f>
        <v/>
      </c>
    </row>
    <row r="80" spans="1:99" x14ac:dyDescent="0.25">
      <c r="A80" t="str">
        <f>IF('DADOS CSV'!J81="","",'DADOS CSV'!J81)</f>
        <v/>
      </c>
      <c r="B80" s="30" t="str">
        <f>IF('DADOS CSV'!K81="","",'DADOS CSV'!K81)</f>
        <v/>
      </c>
      <c r="C80" t="str">
        <f t="shared" si="10"/>
        <v/>
      </c>
      <c r="D80" t="str">
        <f t="shared" si="11"/>
        <v/>
      </c>
      <c r="E80" s="30" t="str">
        <f>IF('DADOS CSV'!L81="","",'DADOS CSV'!L81)</f>
        <v/>
      </c>
      <c r="F80" t="str">
        <f t="shared" si="12"/>
        <v/>
      </c>
      <c r="G80" t="str">
        <f t="shared" si="13"/>
        <v/>
      </c>
      <c r="CT80" t="str">
        <f t="shared" si="14"/>
        <v/>
      </c>
      <c r="CU80" s="33" t="str">
        <f>IFERROR(VLOOKUP(Procv!Q80,Procv!$C$1:$D$21,2,0),"")</f>
        <v/>
      </c>
    </row>
    <row r="81" spans="1:99" x14ac:dyDescent="0.25">
      <c r="A81" t="str">
        <f>IF('DADOS CSV'!J82="","",'DADOS CSV'!J82)</f>
        <v/>
      </c>
      <c r="B81" s="30" t="str">
        <f>IF('DADOS CSV'!K82="","",'DADOS CSV'!K82)</f>
        <v/>
      </c>
      <c r="C81" t="str">
        <f t="shared" si="10"/>
        <v/>
      </c>
      <c r="D81" t="str">
        <f t="shared" si="11"/>
        <v/>
      </c>
      <c r="E81" s="30" t="str">
        <f>IF('DADOS CSV'!L82="","",'DADOS CSV'!L82)</f>
        <v/>
      </c>
      <c r="F81" t="str">
        <f t="shared" si="12"/>
        <v/>
      </c>
      <c r="G81" t="str">
        <f t="shared" si="13"/>
        <v/>
      </c>
      <c r="CT81" t="str">
        <f t="shared" si="14"/>
        <v/>
      </c>
      <c r="CU81" s="33" t="str">
        <f>IFERROR(VLOOKUP(Procv!Q81,Procv!$C$1:$D$21,2,0),"")</f>
        <v/>
      </c>
    </row>
    <row r="82" spans="1:99" x14ac:dyDescent="0.25">
      <c r="A82" t="str">
        <f>IF('DADOS CSV'!J83="","",'DADOS CSV'!J83)</f>
        <v/>
      </c>
      <c r="B82" s="30" t="str">
        <f>IF('DADOS CSV'!K83="","",'DADOS CSV'!K83)</f>
        <v/>
      </c>
      <c r="C82" t="str">
        <f t="shared" si="10"/>
        <v/>
      </c>
      <c r="D82" t="str">
        <f t="shared" si="11"/>
        <v/>
      </c>
      <c r="E82" s="30" t="str">
        <f>IF('DADOS CSV'!L83="","",'DADOS CSV'!L83)</f>
        <v/>
      </c>
      <c r="F82" t="str">
        <f t="shared" si="12"/>
        <v/>
      </c>
      <c r="G82" t="str">
        <f t="shared" si="13"/>
        <v/>
      </c>
      <c r="CT82" t="str">
        <f t="shared" si="14"/>
        <v/>
      </c>
      <c r="CU82" s="33" t="str">
        <f>IFERROR(VLOOKUP(Procv!Q82,Procv!$C$1:$D$21,2,0),"")</f>
        <v/>
      </c>
    </row>
    <row r="83" spans="1:99" x14ac:dyDescent="0.25">
      <c r="A83" t="str">
        <f>IF('DADOS CSV'!J84="","",'DADOS CSV'!J84)</f>
        <v/>
      </c>
      <c r="B83" s="30" t="str">
        <f>IF('DADOS CSV'!K84="","",'DADOS CSV'!K84)</f>
        <v/>
      </c>
      <c r="C83" t="str">
        <f t="shared" si="10"/>
        <v/>
      </c>
      <c r="D83" t="str">
        <f t="shared" si="11"/>
        <v/>
      </c>
      <c r="E83" s="30" t="str">
        <f>IF('DADOS CSV'!L84="","",'DADOS CSV'!L84)</f>
        <v/>
      </c>
      <c r="F83" t="str">
        <f t="shared" si="12"/>
        <v/>
      </c>
      <c r="G83" t="str">
        <f t="shared" si="13"/>
        <v/>
      </c>
      <c r="CT83" t="str">
        <f t="shared" si="14"/>
        <v/>
      </c>
      <c r="CU83" s="33" t="str">
        <f>IFERROR(VLOOKUP(Procv!Q83,Procv!$C$1:$D$21,2,0),"")</f>
        <v/>
      </c>
    </row>
    <row r="84" spans="1:99" x14ac:dyDescent="0.25">
      <c r="A84" t="str">
        <f>IF('DADOS CSV'!J85="","",'DADOS CSV'!J85)</f>
        <v/>
      </c>
      <c r="B84" s="30" t="str">
        <f>IF('DADOS CSV'!K85="","",'DADOS CSV'!K85)</f>
        <v/>
      </c>
      <c r="C84" t="str">
        <f t="shared" si="10"/>
        <v/>
      </c>
      <c r="D84" t="str">
        <f t="shared" si="11"/>
        <v/>
      </c>
      <c r="E84" s="30" t="str">
        <f>IF('DADOS CSV'!L85="","",'DADOS CSV'!L85)</f>
        <v/>
      </c>
      <c r="F84" t="str">
        <f t="shared" si="12"/>
        <v/>
      </c>
      <c r="G84" t="str">
        <f t="shared" si="13"/>
        <v/>
      </c>
      <c r="CT84" t="str">
        <f t="shared" si="14"/>
        <v/>
      </c>
      <c r="CU84" s="33" t="str">
        <f>IFERROR(VLOOKUP(Procv!Q84,Procv!$C$1:$D$21,2,0),"")</f>
        <v/>
      </c>
    </row>
    <row r="85" spans="1:99" x14ac:dyDescent="0.25">
      <c r="A85" t="str">
        <f>IF('DADOS CSV'!J86="","",'DADOS CSV'!J86)</f>
        <v/>
      </c>
      <c r="B85" s="30" t="str">
        <f>IF('DADOS CSV'!K86="","",'DADOS CSV'!K86)</f>
        <v/>
      </c>
      <c r="C85" t="str">
        <f t="shared" si="10"/>
        <v/>
      </c>
      <c r="D85" t="str">
        <f t="shared" si="11"/>
        <v/>
      </c>
      <c r="E85" s="30" t="str">
        <f>IF('DADOS CSV'!L86="","",'DADOS CSV'!L86)</f>
        <v/>
      </c>
      <c r="F85" t="str">
        <f t="shared" si="12"/>
        <v/>
      </c>
      <c r="G85" t="str">
        <f t="shared" si="13"/>
        <v/>
      </c>
      <c r="CT85" t="str">
        <f t="shared" si="14"/>
        <v/>
      </c>
      <c r="CU85" s="33" t="str">
        <f>IFERROR(VLOOKUP(Procv!Q85,Procv!$C$1:$D$21,2,0),"")</f>
        <v/>
      </c>
    </row>
    <row r="86" spans="1:99" x14ac:dyDescent="0.25">
      <c r="A86" t="str">
        <f>IF('DADOS CSV'!J87="","",'DADOS CSV'!J87)</f>
        <v/>
      </c>
      <c r="B86" s="30" t="str">
        <f>IF('DADOS CSV'!K87="","",'DADOS CSV'!K87)</f>
        <v/>
      </c>
      <c r="C86" t="str">
        <f t="shared" si="10"/>
        <v/>
      </c>
      <c r="D86" t="str">
        <f t="shared" si="11"/>
        <v/>
      </c>
      <c r="E86" s="30" t="str">
        <f>IF('DADOS CSV'!L87="","",'DADOS CSV'!L87)</f>
        <v/>
      </c>
      <c r="F86" t="str">
        <f t="shared" si="12"/>
        <v/>
      </c>
      <c r="G86" t="str">
        <f t="shared" si="13"/>
        <v/>
      </c>
      <c r="CT86" t="str">
        <f t="shared" si="14"/>
        <v/>
      </c>
      <c r="CU86" s="33" t="str">
        <f>IFERROR(VLOOKUP(Procv!Q86,Procv!$C$1:$D$21,2,0),"")</f>
        <v/>
      </c>
    </row>
    <row r="87" spans="1:99" x14ac:dyDescent="0.25">
      <c r="A87" t="str">
        <f>IF('DADOS CSV'!J88="","",'DADOS CSV'!J88)</f>
        <v/>
      </c>
      <c r="B87" s="30" t="str">
        <f>IF('DADOS CSV'!K88="","",'DADOS CSV'!K88)</f>
        <v/>
      </c>
      <c r="C87" t="str">
        <f t="shared" si="10"/>
        <v/>
      </c>
      <c r="D87" t="str">
        <f t="shared" si="11"/>
        <v/>
      </c>
      <c r="E87" s="30" t="str">
        <f>IF('DADOS CSV'!L88="","",'DADOS CSV'!L88)</f>
        <v/>
      </c>
      <c r="F87" t="str">
        <f t="shared" si="12"/>
        <v/>
      </c>
      <c r="G87" t="str">
        <f t="shared" si="13"/>
        <v/>
      </c>
      <c r="CT87" t="str">
        <f t="shared" si="14"/>
        <v/>
      </c>
      <c r="CU87" s="33" t="str">
        <f>IFERROR(VLOOKUP(Procv!Q87,Procv!$C$1:$D$21,2,0),"")</f>
        <v/>
      </c>
    </row>
    <row r="88" spans="1:99" x14ac:dyDescent="0.25">
      <c r="A88" t="str">
        <f>IF('DADOS CSV'!J89="","",'DADOS CSV'!J89)</f>
        <v/>
      </c>
      <c r="B88" s="30" t="str">
        <f>IF('DADOS CSV'!K89="","",'DADOS CSV'!K89)</f>
        <v/>
      </c>
      <c r="C88" t="str">
        <f t="shared" si="10"/>
        <v/>
      </c>
      <c r="D88" t="str">
        <f t="shared" si="11"/>
        <v/>
      </c>
      <c r="E88" s="30" t="str">
        <f>IF('DADOS CSV'!L89="","",'DADOS CSV'!L89)</f>
        <v/>
      </c>
      <c r="F88" t="str">
        <f t="shared" si="12"/>
        <v/>
      </c>
      <c r="G88" t="str">
        <f t="shared" si="13"/>
        <v/>
      </c>
      <c r="CT88" t="str">
        <f t="shared" si="14"/>
        <v/>
      </c>
      <c r="CU88" s="33" t="str">
        <f>IFERROR(VLOOKUP(Procv!Q88,Procv!$C$1:$D$21,2,0),"")</f>
        <v/>
      </c>
    </row>
    <row r="89" spans="1:99" x14ac:dyDescent="0.25">
      <c r="A89" t="str">
        <f>IF('DADOS CSV'!J90="","",'DADOS CSV'!J90)</f>
        <v/>
      </c>
      <c r="B89" s="30" t="str">
        <f>IF('DADOS CSV'!K90="","",'DADOS CSV'!K90)</f>
        <v/>
      </c>
      <c r="C89" t="str">
        <f t="shared" si="10"/>
        <v/>
      </c>
      <c r="D89" t="str">
        <f t="shared" si="11"/>
        <v/>
      </c>
      <c r="E89" s="30" t="str">
        <f>IF('DADOS CSV'!L90="","",'DADOS CSV'!L90)</f>
        <v/>
      </c>
      <c r="F89" t="str">
        <f t="shared" si="12"/>
        <v/>
      </c>
      <c r="G89" t="str">
        <f t="shared" si="13"/>
        <v/>
      </c>
      <c r="CT89" t="str">
        <f t="shared" si="14"/>
        <v/>
      </c>
      <c r="CU89" s="33" t="str">
        <f>IFERROR(VLOOKUP(Procv!Q89,Procv!$C$1:$D$21,2,0),"")</f>
        <v/>
      </c>
    </row>
    <row r="90" spans="1:99" x14ac:dyDescent="0.25">
      <c r="A90" t="str">
        <f>IF('DADOS CSV'!J91="","",'DADOS CSV'!J91)</f>
        <v/>
      </c>
      <c r="B90" s="30" t="str">
        <f>IF('DADOS CSV'!K91="","",'DADOS CSV'!K91)</f>
        <v/>
      </c>
      <c r="C90" t="str">
        <f t="shared" si="10"/>
        <v/>
      </c>
      <c r="D90" t="str">
        <f t="shared" si="11"/>
        <v/>
      </c>
      <c r="E90" s="30" t="str">
        <f>IF('DADOS CSV'!L91="","",'DADOS CSV'!L91)</f>
        <v/>
      </c>
      <c r="F90" t="str">
        <f t="shared" si="12"/>
        <v/>
      </c>
      <c r="G90" t="str">
        <f t="shared" si="13"/>
        <v/>
      </c>
      <c r="CT90" t="str">
        <f t="shared" si="14"/>
        <v/>
      </c>
      <c r="CU90" s="33" t="str">
        <f>IFERROR(VLOOKUP(Procv!Q90,Procv!$C$1:$D$21,2,0),"")</f>
        <v/>
      </c>
    </row>
    <row r="91" spans="1:99" x14ac:dyDescent="0.25">
      <c r="A91" t="str">
        <f>IF('DADOS CSV'!J92="","",'DADOS CSV'!J92)</f>
        <v/>
      </c>
      <c r="B91" s="30" t="str">
        <f>IF('DADOS CSV'!K92="","",'DADOS CSV'!K92)</f>
        <v/>
      </c>
      <c r="C91" t="str">
        <f t="shared" si="10"/>
        <v/>
      </c>
      <c r="D91" t="str">
        <f t="shared" si="11"/>
        <v/>
      </c>
      <c r="E91" s="30" t="str">
        <f>IF('DADOS CSV'!L92="","",'DADOS CSV'!L92)</f>
        <v/>
      </c>
      <c r="F91" t="str">
        <f t="shared" si="12"/>
        <v/>
      </c>
      <c r="G91" t="str">
        <f t="shared" si="13"/>
        <v/>
      </c>
      <c r="CT91" t="str">
        <f t="shared" si="14"/>
        <v/>
      </c>
      <c r="CU91" s="33" t="str">
        <f>IFERROR(VLOOKUP(Procv!Q91,Procv!$C$1:$D$21,2,0),"")</f>
        <v/>
      </c>
    </row>
    <row r="92" spans="1:99" x14ac:dyDescent="0.25">
      <c r="A92" t="str">
        <f>IF('DADOS CSV'!J93="","",'DADOS CSV'!J93)</f>
        <v/>
      </c>
      <c r="B92" s="30" t="str">
        <f>IF('DADOS CSV'!K93="","",'DADOS CSV'!K93)</f>
        <v/>
      </c>
      <c r="C92" t="str">
        <f t="shared" si="10"/>
        <v/>
      </c>
      <c r="D92" t="str">
        <f t="shared" si="11"/>
        <v/>
      </c>
      <c r="E92" s="30" t="str">
        <f>IF('DADOS CSV'!L93="","",'DADOS CSV'!L93)</f>
        <v/>
      </c>
      <c r="F92" t="str">
        <f t="shared" si="12"/>
        <v/>
      </c>
      <c r="G92" t="str">
        <f t="shared" si="13"/>
        <v/>
      </c>
      <c r="CT92" t="str">
        <f t="shared" si="14"/>
        <v/>
      </c>
      <c r="CU92" s="33" t="str">
        <f>IFERROR(VLOOKUP(Procv!Q92,Procv!$C$1:$D$21,2,0),"")</f>
        <v/>
      </c>
    </row>
    <row r="93" spans="1:99" x14ac:dyDescent="0.25">
      <c r="A93" t="str">
        <f>IF('DADOS CSV'!J94="","",'DADOS CSV'!J94)</f>
        <v/>
      </c>
      <c r="B93" s="30" t="str">
        <f>IF('DADOS CSV'!K94="","",'DADOS CSV'!K94)</f>
        <v/>
      </c>
      <c r="C93" t="str">
        <f t="shared" si="10"/>
        <v/>
      </c>
      <c r="D93" t="str">
        <f t="shared" si="11"/>
        <v/>
      </c>
      <c r="E93" s="30" t="str">
        <f>IF('DADOS CSV'!L94="","",'DADOS CSV'!L94)</f>
        <v/>
      </c>
      <c r="F93" t="str">
        <f t="shared" si="12"/>
        <v/>
      </c>
      <c r="G93" t="str">
        <f t="shared" si="13"/>
        <v/>
      </c>
      <c r="CT93" t="str">
        <f t="shared" si="14"/>
        <v/>
      </c>
      <c r="CU93" s="33" t="str">
        <f>IFERROR(VLOOKUP(Procv!Q93,Procv!$C$1:$D$21,2,0),"")</f>
        <v/>
      </c>
    </row>
    <row r="94" spans="1:99" x14ac:dyDescent="0.25">
      <c r="A94" t="str">
        <f>IF('DADOS CSV'!J95="","",'DADOS CSV'!J95)</f>
        <v/>
      </c>
      <c r="B94" s="30" t="str">
        <f>IF('DADOS CSV'!K95="","",'DADOS CSV'!K95)</f>
        <v/>
      </c>
      <c r="C94" t="str">
        <f t="shared" si="10"/>
        <v/>
      </c>
      <c r="D94" t="str">
        <f t="shared" si="11"/>
        <v/>
      </c>
      <c r="E94" s="30" t="str">
        <f>IF('DADOS CSV'!L95="","",'DADOS CSV'!L95)</f>
        <v/>
      </c>
      <c r="F94" t="str">
        <f t="shared" si="12"/>
        <v/>
      </c>
      <c r="G94" t="str">
        <f t="shared" si="13"/>
        <v/>
      </c>
      <c r="CT94" t="str">
        <f t="shared" si="14"/>
        <v/>
      </c>
      <c r="CU94" s="33" t="str">
        <f>IFERROR(VLOOKUP(Procv!Q94,Procv!$C$1:$D$21,2,0),"")</f>
        <v/>
      </c>
    </row>
    <row r="95" spans="1:99" x14ac:dyDescent="0.25">
      <c r="A95" t="str">
        <f>IF('DADOS CSV'!J96="","",'DADOS CSV'!J96)</f>
        <v/>
      </c>
      <c r="B95" s="30" t="str">
        <f>IF('DADOS CSV'!K96="","",'DADOS CSV'!K96)</f>
        <v/>
      </c>
      <c r="C95" t="str">
        <f t="shared" si="10"/>
        <v/>
      </c>
      <c r="D95" t="str">
        <f t="shared" si="11"/>
        <v/>
      </c>
      <c r="E95" s="30" t="str">
        <f>IF('DADOS CSV'!L96="","",'DADOS CSV'!L96)</f>
        <v/>
      </c>
      <c r="F95" t="str">
        <f t="shared" si="12"/>
        <v/>
      </c>
      <c r="G95" t="str">
        <f t="shared" si="13"/>
        <v/>
      </c>
      <c r="CT95" t="str">
        <f t="shared" si="14"/>
        <v/>
      </c>
      <c r="CU95" s="33" t="str">
        <f>IFERROR(VLOOKUP(Procv!Q95,Procv!$C$1:$D$21,2,0),"")</f>
        <v/>
      </c>
    </row>
    <row r="96" spans="1:99" x14ac:dyDescent="0.25">
      <c r="A96" t="str">
        <f>IF('DADOS CSV'!J97="","",'DADOS CSV'!J97)</f>
        <v/>
      </c>
      <c r="B96" s="30" t="str">
        <f>IF('DADOS CSV'!K97="","",'DADOS CSV'!K97)</f>
        <v/>
      </c>
      <c r="C96" t="str">
        <f t="shared" si="10"/>
        <v/>
      </c>
      <c r="D96" t="str">
        <f t="shared" si="11"/>
        <v/>
      </c>
      <c r="E96" s="30" t="str">
        <f>IF('DADOS CSV'!L97="","",'DADOS CSV'!L97)</f>
        <v/>
      </c>
      <c r="F96" t="str">
        <f t="shared" si="12"/>
        <v/>
      </c>
      <c r="G96" t="str">
        <f t="shared" si="13"/>
        <v/>
      </c>
      <c r="CT96" t="str">
        <f t="shared" si="14"/>
        <v/>
      </c>
      <c r="CU96" s="33" t="str">
        <f>IFERROR(VLOOKUP(Procv!Q96,Procv!$C$1:$D$21,2,0),"")</f>
        <v/>
      </c>
    </row>
    <row r="97" spans="1:99" x14ac:dyDescent="0.25">
      <c r="A97" t="str">
        <f>IF('DADOS CSV'!J98="","",'DADOS CSV'!J98)</f>
        <v/>
      </c>
      <c r="B97" s="30" t="str">
        <f>IF('DADOS CSV'!K98="","",'DADOS CSV'!K98)</f>
        <v/>
      </c>
      <c r="C97" t="str">
        <f t="shared" si="10"/>
        <v/>
      </c>
      <c r="D97" t="str">
        <f t="shared" si="11"/>
        <v/>
      </c>
      <c r="E97" s="30" t="str">
        <f>IF('DADOS CSV'!L98="","",'DADOS CSV'!L98)</f>
        <v/>
      </c>
      <c r="F97" t="str">
        <f t="shared" si="12"/>
        <v/>
      </c>
      <c r="G97" t="str">
        <f t="shared" si="13"/>
        <v/>
      </c>
      <c r="CT97" t="str">
        <f t="shared" si="14"/>
        <v/>
      </c>
      <c r="CU97" s="33" t="str">
        <f>IFERROR(VLOOKUP(Procv!Q97,Procv!$C$1:$D$21,2,0),"")</f>
        <v/>
      </c>
    </row>
    <row r="98" spans="1:99" x14ac:dyDescent="0.25">
      <c r="A98" t="str">
        <f>IF('DADOS CSV'!J99="","",'DADOS CSV'!J99)</f>
        <v/>
      </c>
      <c r="B98" s="30" t="str">
        <f>IF('DADOS CSV'!K99="","",'DADOS CSV'!K99)</f>
        <v/>
      </c>
      <c r="C98" t="str">
        <f t="shared" si="10"/>
        <v/>
      </c>
      <c r="D98" t="str">
        <f t="shared" si="11"/>
        <v/>
      </c>
      <c r="E98" s="30" t="str">
        <f>IF('DADOS CSV'!L99="","",'DADOS CSV'!L99)</f>
        <v/>
      </c>
      <c r="F98" t="str">
        <f t="shared" si="12"/>
        <v/>
      </c>
      <c r="G98" t="str">
        <f t="shared" si="13"/>
        <v/>
      </c>
      <c r="CT98" t="str">
        <f t="shared" si="14"/>
        <v/>
      </c>
      <c r="CU98" s="33" t="str">
        <f>IFERROR(VLOOKUP(Procv!Q98,Procv!$C$1:$D$21,2,0),"")</f>
        <v/>
      </c>
    </row>
    <row r="99" spans="1:99" x14ac:dyDescent="0.25">
      <c r="A99" t="str">
        <f>IF('DADOS CSV'!J100="","",'DADOS CSV'!J100)</f>
        <v/>
      </c>
      <c r="B99" s="30" t="str">
        <f>IF('DADOS CSV'!K100="","",'DADOS CSV'!K100)</f>
        <v/>
      </c>
      <c r="C99" t="str">
        <f t="shared" ref="C99:C130" si="15">IF(A99="","",$C$2)</f>
        <v/>
      </c>
      <c r="D99" t="str">
        <f t="shared" ref="D99:D130" si="16">IF(A99="","",$D$2)</f>
        <v/>
      </c>
      <c r="E99" s="30" t="str">
        <f>IF('DADOS CSV'!L100="","",'DADOS CSV'!L100)</f>
        <v/>
      </c>
      <c r="F99" t="str">
        <f t="shared" ref="F99:F130" si="17">IF(A99="","",$F$2)</f>
        <v/>
      </c>
      <c r="G99" t="str">
        <f t="shared" ref="G99:G130" si="18">IF(A99="","",$G$2)</f>
        <v/>
      </c>
      <c r="CT99" t="str">
        <f t="shared" ref="CT99:CT130" si="19">IF(A99="","",$CT$2)</f>
        <v/>
      </c>
      <c r="CU99" s="33" t="str">
        <f>IFERROR(VLOOKUP(Procv!Q99,Procv!$C$1:$D$21,2,0),"")</f>
        <v/>
      </c>
    </row>
    <row r="100" spans="1:99" x14ac:dyDescent="0.25">
      <c r="A100" t="str">
        <f>IF('DADOS CSV'!J101="","",'DADOS CSV'!J101)</f>
        <v/>
      </c>
      <c r="B100" s="30" t="str">
        <f>IF('DADOS CSV'!K101="","",'DADOS CSV'!K101)</f>
        <v/>
      </c>
      <c r="C100" t="str">
        <f t="shared" si="15"/>
        <v/>
      </c>
      <c r="D100" t="str">
        <f t="shared" si="16"/>
        <v/>
      </c>
      <c r="E100" s="30" t="str">
        <f>IF('DADOS CSV'!L101="","",'DADOS CSV'!L101)</f>
        <v/>
      </c>
      <c r="F100" t="str">
        <f t="shared" si="17"/>
        <v/>
      </c>
      <c r="G100" t="str">
        <f t="shared" si="18"/>
        <v/>
      </c>
      <c r="CT100" t="str">
        <f t="shared" si="19"/>
        <v/>
      </c>
      <c r="CU100" s="33" t="str">
        <f>IFERROR(VLOOKUP(Procv!Q100,Procv!$C$1:$D$21,2,0),"")</f>
        <v/>
      </c>
    </row>
    <row r="101" spans="1:99" x14ac:dyDescent="0.25">
      <c r="A101" t="str">
        <f>IF('DADOS CSV'!J102="","",'DADOS CSV'!J102)</f>
        <v/>
      </c>
      <c r="B101" s="30" t="str">
        <f>IF('DADOS CSV'!K102="","",'DADOS CSV'!K102)</f>
        <v/>
      </c>
      <c r="C101" t="str">
        <f t="shared" si="15"/>
        <v/>
      </c>
      <c r="D101" t="str">
        <f t="shared" si="16"/>
        <v/>
      </c>
      <c r="E101" s="30" t="str">
        <f>IF('DADOS CSV'!L102="","",'DADOS CSV'!L102)</f>
        <v/>
      </c>
      <c r="F101" t="str">
        <f t="shared" si="17"/>
        <v/>
      </c>
      <c r="G101" t="str">
        <f t="shared" si="18"/>
        <v/>
      </c>
      <c r="CT101" t="str">
        <f t="shared" si="19"/>
        <v/>
      </c>
      <c r="CU101" s="33" t="str">
        <f>IFERROR(VLOOKUP(Procv!Q101,Procv!$C$1:$D$21,2,0),"")</f>
        <v/>
      </c>
    </row>
    <row r="102" spans="1:99" x14ac:dyDescent="0.25">
      <c r="A102" t="str">
        <f>IF('DADOS CSV'!J103="","",'DADOS CSV'!J103)</f>
        <v/>
      </c>
      <c r="B102" s="30" t="str">
        <f>IF('DADOS CSV'!K103="","",'DADOS CSV'!K103)</f>
        <v/>
      </c>
      <c r="C102" t="str">
        <f t="shared" si="15"/>
        <v/>
      </c>
      <c r="D102" t="str">
        <f t="shared" si="16"/>
        <v/>
      </c>
      <c r="E102" s="30" t="str">
        <f>IF('DADOS CSV'!L103="","",'DADOS CSV'!L103)</f>
        <v/>
      </c>
      <c r="F102" t="str">
        <f t="shared" si="17"/>
        <v/>
      </c>
      <c r="G102" t="str">
        <f t="shared" si="18"/>
        <v/>
      </c>
      <c r="CT102" t="str">
        <f t="shared" si="19"/>
        <v/>
      </c>
      <c r="CU102" s="33" t="str">
        <f>IFERROR(VLOOKUP(Procv!Q102,Procv!$C$1:$D$21,2,0),"")</f>
        <v/>
      </c>
    </row>
    <row r="103" spans="1:99" x14ac:dyDescent="0.25">
      <c r="A103" t="str">
        <f>IF('DADOS CSV'!J104="","",'DADOS CSV'!J104)</f>
        <v/>
      </c>
      <c r="B103" s="30" t="str">
        <f>IF('DADOS CSV'!K104="","",'DADOS CSV'!K104)</f>
        <v/>
      </c>
      <c r="C103" t="str">
        <f t="shared" si="15"/>
        <v/>
      </c>
      <c r="D103" t="str">
        <f t="shared" si="16"/>
        <v/>
      </c>
      <c r="E103" s="30" t="str">
        <f>IF('DADOS CSV'!L104="","",'DADOS CSV'!L104)</f>
        <v/>
      </c>
      <c r="F103" t="str">
        <f t="shared" si="17"/>
        <v/>
      </c>
      <c r="G103" t="str">
        <f t="shared" si="18"/>
        <v/>
      </c>
      <c r="CT103" t="str">
        <f t="shared" si="19"/>
        <v/>
      </c>
      <c r="CU103" s="33" t="str">
        <f>IFERROR(VLOOKUP(Procv!Q103,Procv!$C$1:$D$21,2,0),"")</f>
        <v/>
      </c>
    </row>
    <row r="104" spans="1:99" x14ac:dyDescent="0.25">
      <c r="A104" t="str">
        <f>IF('DADOS CSV'!J105="","",'DADOS CSV'!J105)</f>
        <v/>
      </c>
      <c r="B104" s="30" t="str">
        <f>IF('DADOS CSV'!K105="","",'DADOS CSV'!K105)</f>
        <v/>
      </c>
      <c r="C104" t="str">
        <f t="shared" si="15"/>
        <v/>
      </c>
      <c r="D104" t="str">
        <f t="shared" si="16"/>
        <v/>
      </c>
      <c r="E104" s="30" t="str">
        <f>IF('DADOS CSV'!L105="","",'DADOS CSV'!L105)</f>
        <v/>
      </c>
      <c r="F104" t="str">
        <f t="shared" si="17"/>
        <v/>
      </c>
      <c r="G104" t="str">
        <f t="shared" si="18"/>
        <v/>
      </c>
      <c r="CT104" t="str">
        <f t="shared" si="19"/>
        <v/>
      </c>
      <c r="CU104" s="33" t="str">
        <f>IFERROR(VLOOKUP(Procv!Q104,Procv!$C$1:$D$21,2,0),"")</f>
        <v/>
      </c>
    </row>
    <row r="105" spans="1:99" x14ac:dyDescent="0.25">
      <c r="A105" t="str">
        <f>IF('DADOS CSV'!J106="","",'DADOS CSV'!J106)</f>
        <v/>
      </c>
      <c r="B105" s="30" t="str">
        <f>IF('DADOS CSV'!K106="","",'DADOS CSV'!K106)</f>
        <v/>
      </c>
      <c r="C105" t="str">
        <f t="shared" si="15"/>
        <v/>
      </c>
      <c r="D105" t="str">
        <f t="shared" si="16"/>
        <v/>
      </c>
      <c r="E105" s="30" t="str">
        <f>IF('DADOS CSV'!L106="","",'DADOS CSV'!L106)</f>
        <v/>
      </c>
      <c r="F105" t="str">
        <f t="shared" si="17"/>
        <v/>
      </c>
      <c r="G105" t="str">
        <f t="shared" si="18"/>
        <v/>
      </c>
      <c r="CT105" t="str">
        <f t="shared" si="19"/>
        <v/>
      </c>
      <c r="CU105" s="33" t="str">
        <f>IFERROR(VLOOKUP(Procv!Q105,Procv!$C$1:$D$21,2,0),"")</f>
        <v/>
      </c>
    </row>
    <row r="106" spans="1:99" x14ac:dyDescent="0.25">
      <c r="A106" t="str">
        <f>IF('DADOS CSV'!J107="","",'DADOS CSV'!J107)</f>
        <v/>
      </c>
      <c r="B106" s="30" t="str">
        <f>IF('DADOS CSV'!K107="","",'DADOS CSV'!K107)</f>
        <v/>
      </c>
      <c r="C106" t="str">
        <f t="shared" si="15"/>
        <v/>
      </c>
      <c r="D106" t="str">
        <f t="shared" si="16"/>
        <v/>
      </c>
      <c r="E106" s="30" t="str">
        <f>IF('DADOS CSV'!L107="","",'DADOS CSV'!L107)</f>
        <v/>
      </c>
      <c r="F106" t="str">
        <f t="shared" si="17"/>
        <v/>
      </c>
      <c r="G106" t="str">
        <f t="shared" si="18"/>
        <v/>
      </c>
      <c r="CT106" t="str">
        <f t="shared" si="19"/>
        <v/>
      </c>
      <c r="CU106" s="33" t="str">
        <f>IFERROR(VLOOKUP(Procv!Q106,Procv!$C$1:$D$21,2,0),"")</f>
        <v/>
      </c>
    </row>
    <row r="107" spans="1:99" x14ac:dyDescent="0.25">
      <c r="A107" t="str">
        <f>IF('DADOS CSV'!J108="","",'DADOS CSV'!J108)</f>
        <v/>
      </c>
      <c r="B107" s="30" t="str">
        <f>IF('DADOS CSV'!K108="","",'DADOS CSV'!K108)</f>
        <v/>
      </c>
      <c r="C107" t="str">
        <f t="shared" si="15"/>
        <v/>
      </c>
      <c r="D107" t="str">
        <f t="shared" si="16"/>
        <v/>
      </c>
      <c r="E107" s="30" t="str">
        <f>IF('DADOS CSV'!L108="","",'DADOS CSV'!L108)</f>
        <v/>
      </c>
      <c r="F107" t="str">
        <f t="shared" si="17"/>
        <v/>
      </c>
      <c r="G107" t="str">
        <f t="shared" si="18"/>
        <v/>
      </c>
      <c r="CT107" t="str">
        <f t="shared" si="19"/>
        <v/>
      </c>
      <c r="CU107" s="33" t="str">
        <f>IFERROR(VLOOKUP(Procv!Q107,Procv!$C$1:$D$21,2,0),"")</f>
        <v/>
      </c>
    </row>
    <row r="108" spans="1:99" x14ac:dyDescent="0.25">
      <c r="A108" t="str">
        <f>IF('DADOS CSV'!J109="","",'DADOS CSV'!J109)</f>
        <v/>
      </c>
      <c r="B108" s="30" t="str">
        <f>IF('DADOS CSV'!K109="","",'DADOS CSV'!K109)</f>
        <v/>
      </c>
      <c r="C108" t="str">
        <f t="shared" si="15"/>
        <v/>
      </c>
      <c r="D108" t="str">
        <f t="shared" si="16"/>
        <v/>
      </c>
      <c r="E108" s="30" t="str">
        <f>IF('DADOS CSV'!L109="","",'DADOS CSV'!L109)</f>
        <v/>
      </c>
      <c r="F108" t="str">
        <f t="shared" si="17"/>
        <v/>
      </c>
      <c r="G108" t="str">
        <f t="shared" si="18"/>
        <v/>
      </c>
      <c r="CT108" t="str">
        <f t="shared" si="19"/>
        <v/>
      </c>
      <c r="CU108" s="33" t="str">
        <f>IFERROR(VLOOKUP(Procv!Q108,Procv!$C$1:$D$21,2,0),"")</f>
        <v/>
      </c>
    </row>
    <row r="109" spans="1:99" x14ac:dyDescent="0.25">
      <c r="A109" t="str">
        <f>IF('DADOS CSV'!J110="","",'DADOS CSV'!J110)</f>
        <v/>
      </c>
      <c r="B109" s="30" t="str">
        <f>IF('DADOS CSV'!K110="","",'DADOS CSV'!K110)</f>
        <v/>
      </c>
      <c r="C109" t="str">
        <f t="shared" si="15"/>
        <v/>
      </c>
      <c r="D109" t="str">
        <f t="shared" si="16"/>
        <v/>
      </c>
      <c r="E109" s="30" t="str">
        <f>IF('DADOS CSV'!L110="","",'DADOS CSV'!L110)</f>
        <v/>
      </c>
      <c r="F109" t="str">
        <f t="shared" si="17"/>
        <v/>
      </c>
      <c r="G109" t="str">
        <f t="shared" si="18"/>
        <v/>
      </c>
      <c r="CT109" t="str">
        <f t="shared" si="19"/>
        <v/>
      </c>
      <c r="CU109" s="33" t="str">
        <f>IFERROR(VLOOKUP(Procv!Q109,Procv!$C$1:$D$21,2,0),"")</f>
        <v/>
      </c>
    </row>
    <row r="110" spans="1:99" x14ac:dyDescent="0.25">
      <c r="A110" t="str">
        <f>IF('DADOS CSV'!J111="","",'DADOS CSV'!J111)</f>
        <v/>
      </c>
      <c r="B110" s="30" t="str">
        <f>IF('DADOS CSV'!K111="","",'DADOS CSV'!K111)</f>
        <v/>
      </c>
      <c r="C110" t="str">
        <f t="shared" si="15"/>
        <v/>
      </c>
      <c r="D110" t="str">
        <f t="shared" si="16"/>
        <v/>
      </c>
      <c r="E110" s="30" t="str">
        <f>IF('DADOS CSV'!L111="","",'DADOS CSV'!L111)</f>
        <v/>
      </c>
      <c r="F110" t="str">
        <f t="shared" si="17"/>
        <v/>
      </c>
      <c r="G110" t="str">
        <f t="shared" si="18"/>
        <v/>
      </c>
      <c r="CT110" t="str">
        <f t="shared" si="19"/>
        <v/>
      </c>
      <c r="CU110" s="33" t="str">
        <f>IFERROR(VLOOKUP(Procv!Q110,Procv!$C$1:$D$21,2,0),"")</f>
        <v/>
      </c>
    </row>
    <row r="111" spans="1:99" x14ac:dyDescent="0.25">
      <c r="A111" t="str">
        <f>IF('DADOS CSV'!J112="","",'DADOS CSV'!J112)</f>
        <v/>
      </c>
      <c r="B111" s="30" t="str">
        <f>IF('DADOS CSV'!K112="","",'DADOS CSV'!K112)</f>
        <v/>
      </c>
      <c r="C111" t="str">
        <f t="shared" si="15"/>
        <v/>
      </c>
      <c r="D111" t="str">
        <f t="shared" si="16"/>
        <v/>
      </c>
      <c r="E111" s="30" t="str">
        <f>IF('DADOS CSV'!L112="","",'DADOS CSV'!L112)</f>
        <v/>
      </c>
      <c r="F111" t="str">
        <f t="shared" si="17"/>
        <v/>
      </c>
      <c r="G111" t="str">
        <f t="shared" si="18"/>
        <v/>
      </c>
      <c r="CT111" t="str">
        <f t="shared" si="19"/>
        <v/>
      </c>
      <c r="CU111" s="33" t="str">
        <f>IFERROR(VLOOKUP(Procv!Q111,Procv!$C$1:$D$21,2,0),"")</f>
        <v/>
      </c>
    </row>
    <row r="112" spans="1:99" x14ac:dyDescent="0.25">
      <c r="A112" t="str">
        <f>IF('DADOS CSV'!J113="","",'DADOS CSV'!J113)</f>
        <v/>
      </c>
      <c r="B112" s="30" t="str">
        <f>IF('DADOS CSV'!K113="","",'DADOS CSV'!K113)</f>
        <v/>
      </c>
      <c r="C112" t="str">
        <f t="shared" si="15"/>
        <v/>
      </c>
      <c r="D112" t="str">
        <f t="shared" si="16"/>
        <v/>
      </c>
      <c r="E112" s="30" t="str">
        <f>IF('DADOS CSV'!L113="","",'DADOS CSV'!L113)</f>
        <v/>
      </c>
      <c r="F112" t="str">
        <f t="shared" si="17"/>
        <v/>
      </c>
      <c r="G112" t="str">
        <f t="shared" si="18"/>
        <v/>
      </c>
      <c r="CT112" t="str">
        <f t="shared" si="19"/>
        <v/>
      </c>
      <c r="CU112" s="33" t="str">
        <f>IFERROR(VLOOKUP(Procv!Q112,Procv!$C$1:$D$21,2,0),"")</f>
        <v/>
      </c>
    </row>
    <row r="113" spans="1:99" x14ac:dyDescent="0.25">
      <c r="A113" t="str">
        <f>IF('DADOS CSV'!J114="","",'DADOS CSV'!J114)</f>
        <v/>
      </c>
      <c r="B113" s="30" t="str">
        <f>IF('DADOS CSV'!K114="","",'DADOS CSV'!K114)</f>
        <v/>
      </c>
      <c r="C113" t="str">
        <f t="shared" si="15"/>
        <v/>
      </c>
      <c r="D113" t="str">
        <f t="shared" si="16"/>
        <v/>
      </c>
      <c r="E113" s="30" t="str">
        <f>IF('DADOS CSV'!L114="","",'DADOS CSV'!L114)</f>
        <v/>
      </c>
      <c r="F113" t="str">
        <f t="shared" si="17"/>
        <v/>
      </c>
      <c r="G113" t="str">
        <f t="shared" si="18"/>
        <v/>
      </c>
      <c r="CT113" t="str">
        <f t="shared" si="19"/>
        <v/>
      </c>
      <c r="CU113" s="33" t="str">
        <f>IFERROR(VLOOKUP(Procv!Q113,Procv!$C$1:$D$21,2,0),"")</f>
        <v/>
      </c>
    </row>
    <row r="114" spans="1:99" x14ac:dyDescent="0.25">
      <c r="A114" t="str">
        <f>IF('DADOS CSV'!J115="","",'DADOS CSV'!J115)</f>
        <v/>
      </c>
      <c r="B114" s="30" t="str">
        <f>IF('DADOS CSV'!K115="","",'DADOS CSV'!K115)</f>
        <v/>
      </c>
      <c r="C114" t="str">
        <f t="shared" si="15"/>
        <v/>
      </c>
      <c r="D114" t="str">
        <f t="shared" si="16"/>
        <v/>
      </c>
      <c r="E114" s="30" t="str">
        <f>IF('DADOS CSV'!L115="","",'DADOS CSV'!L115)</f>
        <v/>
      </c>
      <c r="F114" t="str">
        <f t="shared" si="17"/>
        <v/>
      </c>
      <c r="G114" t="str">
        <f t="shared" si="18"/>
        <v/>
      </c>
      <c r="CT114" t="str">
        <f t="shared" si="19"/>
        <v/>
      </c>
      <c r="CU114" s="33" t="str">
        <f>IFERROR(VLOOKUP(Procv!Q114,Procv!$C$1:$D$21,2,0),"")</f>
        <v/>
      </c>
    </row>
    <row r="115" spans="1:99" x14ac:dyDescent="0.25">
      <c r="A115" t="str">
        <f>IF('DADOS CSV'!J116="","",'DADOS CSV'!J116)</f>
        <v/>
      </c>
      <c r="B115" s="30" t="str">
        <f>IF('DADOS CSV'!K116="","",'DADOS CSV'!K116)</f>
        <v/>
      </c>
      <c r="C115" t="str">
        <f t="shared" si="15"/>
        <v/>
      </c>
      <c r="D115" t="str">
        <f t="shared" si="16"/>
        <v/>
      </c>
      <c r="E115" s="30" t="str">
        <f>IF('DADOS CSV'!L116="","",'DADOS CSV'!L116)</f>
        <v/>
      </c>
      <c r="F115" t="str">
        <f t="shared" si="17"/>
        <v/>
      </c>
      <c r="G115" t="str">
        <f t="shared" si="18"/>
        <v/>
      </c>
      <c r="CT115" t="str">
        <f t="shared" si="19"/>
        <v/>
      </c>
      <c r="CU115" s="33" t="str">
        <f>IFERROR(VLOOKUP(Procv!Q115,Procv!$C$1:$D$21,2,0),"")</f>
        <v/>
      </c>
    </row>
    <row r="116" spans="1:99" x14ac:dyDescent="0.25">
      <c r="A116" t="str">
        <f>IF('DADOS CSV'!J117="","",'DADOS CSV'!J117)</f>
        <v/>
      </c>
      <c r="B116" s="30" t="str">
        <f>IF('DADOS CSV'!K117="","",'DADOS CSV'!K117)</f>
        <v/>
      </c>
      <c r="C116" t="str">
        <f t="shared" si="15"/>
        <v/>
      </c>
      <c r="D116" t="str">
        <f t="shared" si="16"/>
        <v/>
      </c>
      <c r="E116" s="30" t="str">
        <f>IF('DADOS CSV'!L117="","",'DADOS CSV'!L117)</f>
        <v/>
      </c>
      <c r="F116" t="str">
        <f t="shared" si="17"/>
        <v/>
      </c>
      <c r="G116" t="str">
        <f t="shared" si="18"/>
        <v/>
      </c>
      <c r="CT116" t="str">
        <f t="shared" si="19"/>
        <v/>
      </c>
      <c r="CU116" s="33" t="str">
        <f>IFERROR(VLOOKUP(Procv!Q116,Procv!$C$1:$D$21,2,0),"")</f>
        <v/>
      </c>
    </row>
    <row r="117" spans="1:99" x14ac:dyDescent="0.25">
      <c r="A117" t="str">
        <f>IF('DADOS CSV'!J118="","",'DADOS CSV'!J118)</f>
        <v/>
      </c>
      <c r="B117" s="30" t="str">
        <f>IF('DADOS CSV'!K118="","",'DADOS CSV'!K118)</f>
        <v/>
      </c>
      <c r="C117" t="str">
        <f t="shared" si="15"/>
        <v/>
      </c>
      <c r="D117" t="str">
        <f t="shared" si="16"/>
        <v/>
      </c>
      <c r="E117" s="30" t="str">
        <f>IF('DADOS CSV'!L118="","",'DADOS CSV'!L118)</f>
        <v/>
      </c>
      <c r="F117" t="str">
        <f t="shared" si="17"/>
        <v/>
      </c>
      <c r="G117" t="str">
        <f t="shared" si="18"/>
        <v/>
      </c>
      <c r="CT117" t="str">
        <f t="shared" si="19"/>
        <v/>
      </c>
      <c r="CU117" s="33" t="str">
        <f>IFERROR(VLOOKUP(Procv!Q117,Procv!$C$1:$D$21,2,0),"")</f>
        <v/>
      </c>
    </row>
    <row r="118" spans="1:99" x14ac:dyDescent="0.25">
      <c r="A118" t="str">
        <f>IF('DADOS CSV'!J119="","",'DADOS CSV'!J119)</f>
        <v/>
      </c>
      <c r="B118" s="30" t="str">
        <f>IF('DADOS CSV'!K119="","",'DADOS CSV'!K119)</f>
        <v/>
      </c>
      <c r="C118" t="str">
        <f t="shared" si="15"/>
        <v/>
      </c>
      <c r="D118" t="str">
        <f t="shared" si="16"/>
        <v/>
      </c>
      <c r="E118" s="30" t="str">
        <f>IF('DADOS CSV'!L119="","",'DADOS CSV'!L119)</f>
        <v/>
      </c>
      <c r="F118" t="str">
        <f t="shared" si="17"/>
        <v/>
      </c>
      <c r="G118" t="str">
        <f t="shared" si="18"/>
        <v/>
      </c>
      <c r="CT118" t="str">
        <f t="shared" si="19"/>
        <v/>
      </c>
      <c r="CU118" s="33" t="str">
        <f>IFERROR(VLOOKUP(Procv!Q118,Procv!$C$1:$D$21,2,0),"")</f>
        <v/>
      </c>
    </row>
    <row r="119" spans="1:99" x14ac:dyDescent="0.25">
      <c r="A119" t="str">
        <f>IF('DADOS CSV'!J120="","",'DADOS CSV'!J120)</f>
        <v/>
      </c>
      <c r="B119" s="30" t="str">
        <f>IF('DADOS CSV'!K120="","",'DADOS CSV'!K120)</f>
        <v/>
      </c>
      <c r="C119" t="str">
        <f t="shared" si="15"/>
        <v/>
      </c>
      <c r="D119" t="str">
        <f t="shared" si="16"/>
        <v/>
      </c>
      <c r="E119" s="30" t="str">
        <f>IF('DADOS CSV'!L120="","",'DADOS CSV'!L120)</f>
        <v/>
      </c>
      <c r="F119" t="str">
        <f t="shared" si="17"/>
        <v/>
      </c>
      <c r="G119" t="str">
        <f t="shared" si="18"/>
        <v/>
      </c>
      <c r="CT119" t="str">
        <f t="shared" si="19"/>
        <v/>
      </c>
      <c r="CU119" s="33" t="str">
        <f>IFERROR(VLOOKUP(Procv!Q119,Procv!$C$1:$D$21,2,0),"")</f>
        <v/>
      </c>
    </row>
    <row r="120" spans="1:99" x14ac:dyDescent="0.25">
      <c r="A120" t="str">
        <f>IF('DADOS CSV'!J121="","",'DADOS CSV'!J121)</f>
        <v/>
      </c>
      <c r="B120" s="30" t="str">
        <f>IF('DADOS CSV'!K121="","",'DADOS CSV'!K121)</f>
        <v/>
      </c>
      <c r="C120" t="str">
        <f t="shared" si="15"/>
        <v/>
      </c>
      <c r="D120" t="str">
        <f t="shared" si="16"/>
        <v/>
      </c>
      <c r="E120" s="30" t="str">
        <f>IF('DADOS CSV'!L121="","",'DADOS CSV'!L121)</f>
        <v/>
      </c>
      <c r="F120" t="str">
        <f t="shared" si="17"/>
        <v/>
      </c>
      <c r="G120" t="str">
        <f t="shared" si="18"/>
        <v/>
      </c>
      <c r="CT120" t="str">
        <f t="shared" si="19"/>
        <v/>
      </c>
      <c r="CU120" s="33" t="str">
        <f>IFERROR(VLOOKUP(Procv!Q120,Procv!$C$1:$D$21,2,0),"")</f>
        <v/>
      </c>
    </row>
    <row r="121" spans="1:99" x14ac:dyDescent="0.25">
      <c r="A121" t="str">
        <f>IF('DADOS CSV'!J122="","",'DADOS CSV'!J122)</f>
        <v/>
      </c>
      <c r="B121" s="30" t="str">
        <f>IF('DADOS CSV'!K122="","",'DADOS CSV'!K122)</f>
        <v/>
      </c>
      <c r="C121" t="str">
        <f t="shared" si="15"/>
        <v/>
      </c>
      <c r="D121" t="str">
        <f t="shared" si="16"/>
        <v/>
      </c>
      <c r="E121" s="30" t="str">
        <f>IF('DADOS CSV'!L122="","",'DADOS CSV'!L122)</f>
        <v/>
      </c>
      <c r="F121" t="str">
        <f t="shared" si="17"/>
        <v/>
      </c>
      <c r="G121" t="str">
        <f t="shared" si="18"/>
        <v/>
      </c>
      <c r="CT121" t="str">
        <f t="shared" si="19"/>
        <v/>
      </c>
      <c r="CU121" s="33" t="str">
        <f>IFERROR(VLOOKUP(Procv!Q121,Procv!$C$1:$D$21,2,0),"")</f>
        <v/>
      </c>
    </row>
    <row r="122" spans="1:99" x14ac:dyDescent="0.25">
      <c r="A122" t="str">
        <f>IF('DADOS CSV'!J123="","",'DADOS CSV'!J123)</f>
        <v/>
      </c>
      <c r="B122" s="30" t="str">
        <f>IF('DADOS CSV'!K123="","",'DADOS CSV'!K123)</f>
        <v/>
      </c>
      <c r="C122" t="str">
        <f t="shared" si="15"/>
        <v/>
      </c>
      <c r="D122" t="str">
        <f t="shared" si="16"/>
        <v/>
      </c>
      <c r="E122" s="30" t="str">
        <f>IF('DADOS CSV'!L123="","",'DADOS CSV'!L123)</f>
        <v/>
      </c>
      <c r="F122" t="str">
        <f t="shared" si="17"/>
        <v/>
      </c>
      <c r="G122" t="str">
        <f t="shared" si="18"/>
        <v/>
      </c>
      <c r="CT122" t="str">
        <f t="shared" si="19"/>
        <v/>
      </c>
      <c r="CU122" s="33" t="str">
        <f>IFERROR(VLOOKUP(Procv!Q122,Procv!$C$1:$D$21,2,0),"")</f>
        <v/>
      </c>
    </row>
    <row r="123" spans="1:99" x14ac:dyDescent="0.25">
      <c r="A123" t="str">
        <f>IF('DADOS CSV'!J124="","",'DADOS CSV'!J124)</f>
        <v/>
      </c>
      <c r="B123" s="30" t="str">
        <f>IF('DADOS CSV'!K124="","",'DADOS CSV'!K124)</f>
        <v/>
      </c>
      <c r="C123" t="str">
        <f t="shared" si="15"/>
        <v/>
      </c>
      <c r="D123" t="str">
        <f t="shared" si="16"/>
        <v/>
      </c>
      <c r="E123" s="30" t="str">
        <f>IF('DADOS CSV'!L124="","",'DADOS CSV'!L124)</f>
        <v/>
      </c>
      <c r="F123" t="str">
        <f t="shared" si="17"/>
        <v/>
      </c>
      <c r="G123" t="str">
        <f t="shared" si="18"/>
        <v/>
      </c>
      <c r="CT123" t="str">
        <f t="shared" si="19"/>
        <v/>
      </c>
      <c r="CU123" s="33" t="str">
        <f>IFERROR(VLOOKUP(Procv!Q123,Procv!$C$1:$D$21,2,0),"")</f>
        <v/>
      </c>
    </row>
    <row r="124" spans="1:99" x14ac:dyDescent="0.25">
      <c r="A124" t="str">
        <f>IF('DADOS CSV'!J125="","",'DADOS CSV'!J125)</f>
        <v/>
      </c>
      <c r="B124" s="30" t="str">
        <f>IF('DADOS CSV'!K125="","",'DADOS CSV'!K125)</f>
        <v/>
      </c>
      <c r="C124" t="str">
        <f t="shared" si="15"/>
        <v/>
      </c>
      <c r="D124" t="str">
        <f t="shared" si="16"/>
        <v/>
      </c>
      <c r="E124" s="30" t="str">
        <f>IF('DADOS CSV'!L125="","",'DADOS CSV'!L125)</f>
        <v/>
      </c>
      <c r="F124" t="str">
        <f t="shared" si="17"/>
        <v/>
      </c>
      <c r="G124" t="str">
        <f t="shared" si="18"/>
        <v/>
      </c>
      <c r="CT124" t="str">
        <f t="shared" si="19"/>
        <v/>
      </c>
      <c r="CU124" s="33" t="str">
        <f>IFERROR(VLOOKUP(Procv!Q124,Procv!$C$1:$D$21,2,0),"")</f>
        <v/>
      </c>
    </row>
    <row r="125" spans="1:99" x14ac:dyDescent="0.25">
      <c r="A125" t="str">
        <f>IF('DADOS CSV'!J126="","",'DADOS CSV'!J126)</f>
        <v/>
      </c>
      <c r="B125" s="30" t="str">
        <f>IF('DADOS CSV'!K126="","",'DADOS CSV'!K126)</f>
        <v/>
      </c>
      <c r="C125" t="str">
        <f t="shared" si="15"/>
        <v/>
      </c>
      <c r="D125" t="str">
        <f t="shared" si="16"/>
        <v/>
      </c>
      <c r="E125" s="30" t="str">
        <f>IF('DADOS CSV'!L126="","",'DADOS CSV'!L126)</f>
        <v/>
      </c>
      <c r="F125" t="str">
        <f t="shared" si="17"/>
        <v/>
      </c>
      <c r="G125" t="str">
        <f t="shared" si="18"/>
        <v/>
      </c>
      <c r="CT125" t="str">
        <f t="shared" si="19"/>
        <v/>
      </c>
      <c r="CU125" s="33" t="str">
        <f>IFERROR(VLOOKUP(Procv!Q125,Procv!$C$1:$D$21,2,0),"")</f>
        <v/>
      </c>
    </row>
    <row r="126" spans="1:99" x14ac:dyDescent="0.25">
      <c r="A126" t="str">
        <f>IF('DADOS CSV'!J127="","",'DADOS CSV'!J127)</f>
        <v/>
      </c>
      <c r="B126" s="30" t="str">
        <f>IF('DADOS CSV'!K127="","",'DADOS CSV'!K127)</f>
        <v/>
      </c>
      <c r="C126" t="str">
        <f t="shared" si="15"/>
        <v/>
      </c>
      <c r="D126" t="str">
        <f t="shared" si="16"/>
        <v/>
      </c>
      <c r="E126" s="30" t="str">
        <f>IF('DADOS CSV'!L127="","",'DADOS CSV'!L127)</f>
        <v/>
      </c>
      <c r="F126" t="str">
        <f t="shared" si="17"/>
        <v/>
      </c>
      <c r="G126" t="str">
        <f t="shared" si="18"/>
        <v/>
      </c>
      <c r="CT126" t="str">
        <f t="shared" si="19"/>
        <v/>
      </c>
      <c r="CU126" s="33" t="str">
        <f>IFERROR(VLOOKUP(Procv!Q126,Procv!$C$1:$D$21,2,0),"")</f>
        <v/>
      </c>
    </row>
    <row r="127" spans="1:99" x14ac:dyDescent="0.25">
      <c r="A127" t="str">
        <f>IF('DADOS CSV'!J128="","",'DADOS CSV'!J128)</f>
        <v/>
      </c>
      <c r="B127" s="30" t="str">
        <f>IF('DADOS CSV'!K128="","",'DADOS CSV'!K128)</f>
        <v/>
      </c>
      <c r="C127" t="str">
        <f t="shared" si="15"/>
        <v/>
      </c>
      <c r="D127" t="str">
        <f t="shared" si="16"/>
        <v/>
      </c>
      <c r="E127" s="30" t="str">
        <f>IF('DADOS CSV'!L128="","",'DADOS CSV'!L128)</f>
        <v/>
      </c>
      <c r="F127" t="str">
        <f t="shared" si="17"/>
        <v/>
      </c>
      <c r="G127" t="str">
        <f t="shared" si="18"/>
        <v/>
      </c>
      <c r="CT127" t="str">
        <f t="shared" si="19"/>
        <v/>
      </c>
      <c r="CU127" s="33" t="str">
        <f>IFERROR(VLOOKUP(Procv!Q127,Procv!$C$1:$D$21,2,0),"")</f>
        <v/>
      </c>
    </row>
    <row r="128" spans="1:99" x14ac:dyDescent="0.25">
      <c r="A128" t="str">
        <f>IF('DADOS CSV'!J129="","",'DADOS CSV'!J129)</f>
        <v/>
      </c>
      <c r="B128" s="30" t="str">
        <f>IF('DADOS CSV'!K129="","",'DADOS CSV'!K129)</f>
        <v/>
      </c>
      <c r="C128" t="str">
        <f t="shared" si="15"/>
        <v/>
      </c>
      <c r="D128" t="str">
        <f t="shared" si="16"/>
        <v/>
      </c>
      <c r="E128" s="30" t="str">
        <f>IF('DADOS CSV'!L129="","",'DADOS CSV'!L129)</f>
        <v/>
      </c>
      <c r="F128" t="str">
        <f t="shared" si="17"/>
        <v/>
      </c>
      <c r="G128" t="str">
        <f t="shared" si="18"/>
        <v/>
      </c>
      <c r="CT128" t="str">
        <f t="shared" si="19"/>
        <v/>
      </c>
      <c r="CU128" s="33" t="str">
        <f>IFERROR(VLOOKUP(Procv!Q128,Procv!$C$1:$D$21,2,0),"")</f>
        <v/>
      </c>
    </row>
    <row r="129" spans="1:99" x14ac:dyDescent="0.25">
      <c r="A129" t="str">
        <f>IF('DADOS CSV'!J130="","",'DADOS CSV'!J130)</f>
        <v/>
      </c>
      <c r="B129" s="30" t="str">
        <f>IF('DADOS CSV'!K130="","",'DADOS CSV'!K130)</f>
        <v/>
      </c>
      <c r="C129" t="str">
        <f t="shared" si="15"/>
        <v/>
      </c>
      <c r="D129" t="str">
        <f t="shared" si="16"/>
        <v/>
      </c>
      <c r="E129" s="30" t="str">
        <f>IF('DADOS CSV'!L130="","",'DADOS CSV'!L130)</f>
        <v/>
      </c>
      <c r="F129" t="str">
        <f t="shared" si="17"/>
        <v/>
      </c>
      <c r="G129" t="str">
        <f t="shared" si="18"/>
        <v/>
      </c>
      <c r="CT129" t="str">
        <f t="shared" si="19"/>
        <v/>
      </c>
      <c r="CU129" s="33" t="str">
        <f>IFERROR(VLOOKUP(Procv!Q129,Procv!$C$1:$D$21,2,0),"")</f>
        <v/>
      </c>
    </row>
    <row r="130" spans="1:99" x14ac:dyDescent="0.25">
      <c r="A130" t="str">
        <f>IF('DADOS CSV'!J131="","",'DADOS CSV'!J131)</f>
        <v/>
      </c>
      <c r="B130" s="30" t="str">
        <f>IF('DADOS CSV'!K131="","",'DADOS CSV'!K131)</f>
        <v/>
      </c>
      <c r="C130" t="str">
        <f t="shared" si="15"/>
        <v/>
      </c>
      <c r="D130" t="str">
        <f t="shared" si="16"/>
        <v/>
      </c>
      <c r="E130" s="30" t="str">
        <f>IF('DADOS CSV'!L131="","",'DADOS CSV'!L131)</f>
        <v/>
      </c>
      <c r="F130" t="str">
        <f t="shared" si="17"/>
        <v/>
      </c>
      <c r="G130" t="str">
        <f t="shared" si="18"/>
        <v/>
      </c>
      <c r="CT130" t="str">
        <f t="shared" si="19"/>
        <v/>
      </c>
      <c r="CU130" s="33" t="str">
        <f>IFERROR(VLOOKUP(Procv!Q130,Procv!$C$1:$D$21,2,0),"")</f>
        <v/>
      </c>
    </row>
    <row r="131" spans="1:99" x14ac:dyDescent="0.25">
      <c r="A131" t="str">
        <f>IF('DADOS CSV'!J132="","",'DADOS CSV'!J132)</f>
        <v/>
      </c>
      <c r="B131" s="30" t="str">
        <f>IF('DADOS CSV'!K132="","",'DADOS CSV'!K132)</f>
        <v/>
      </c>
      <c r="C131" t="str">
        <f t="shared" ref="C131:C162" si="20">IF(A131="","",$C$2)</f>
        <v/>
      </c>
      <c r="D131" t="str">
        <f t="shared" ref="D131:D162" si="21">IF(A131="","",$D$2)</f>
        <v/>
      </c>
      <c r="E131" s="30" t="str">
        <f>IF('DADOS CSV'!L132="","",'DADOS CSV'!L132)</f>
        <v/>
      </c>
      <c r="F131" t="str">
        <f t="shared" ref="F131:F162" si="22">IF(A131="","",$F$2)</f>
        <v/>
      </c>
      <c r="G131" t="str">
        <f t="shared" ref="G131:G162" si="23">IF(A131="","",$G$2)</f>
        <v/>
      </c>
      <c r="CT131" t="str">
        <f t="shared" ref="CT131:CT162" si="24">IF(A131="","",$CT$2)</f>
        <v/>
      </c>
      <c r="CU131" s="33" t="str">
        <f>IFERROR(VLOOKUP(Procv!Q131,Procv!$C$1:$D$21,2,0),"")</f>
        <v/>
      </c>
    </row>
    <row r="132" spans="1:99" x14ac:dyDescent="0.25">
      <c r="A132" t="str">
        <f>IF('DADOS CSV'!J133="","",'DADOS CSV'!J133)</f>
        <v/>
      </c>
      <c r="B132" s="30" t="str">
        <f>IF('DADOS CSV'!K133="","",'DADOS CSV'!K133)</f>
        <v/>
      </c>
      <c r="C132" t="str">
        <f t="shared" si="20"/>
        <v/>
      </c>
      <c r="D132" t="str">
        <f t="shared" si="21"/>
        <v/>
      </c>
      <c r="E132" s="30" t="str">
        <f>IF('DADOS CSV'!L133="","",'DADOS CSV'!L133)</f>
        <v/>
      </c>
      <c r="F132" t="str">
        <f t="shared" si="22"/>
        <v/>
      </c>
      <c r="G132" t="str">
        <f t="shared" si="23"/>
        <v/>
      </c>
      <c r="CT132" t="str">
        <f t="shared" si="24"/>
        <v/>
      </c>
      <c r="CU132" s="33" t="str">
        <f>IFERROR(VLOOKUP(Procv!Q132,Procv!$C$1:$D$21,2,0),"")</f>
        <v/>
      </c>
    </row>
    <row r="133" spans="1:99" x14ac:dyDescent="0.25">
      <c r="A133" t="str">
        <f>IF('DADOS CSV'!J134="","",'DADOS CSV'!J134)</f>
        <v/>
      </c>
      <c r="B133" s="30" t="str">
        <f>IF('DADOS CSV'!K134="","",'DADOS CSV'!K134)</f>
        <v/>
      </c>
      <c r="C133" t="str">
        <f t="shared" si="20"/>
        <v/>
      </c>
      <c r="D133" t="str">
        <f t="shared" si="21"/>
        <v/>
      </c>
      <c r="E133" s="30" t="str">
        <f>IF('DADOS CSV'!L134="","",'DADOS CSV'!L134)</f>
        <v/>
      </c>
      <c r="F133" t="str">
        <f t="shared" si="22"/>
        <v/>
      </c>
      <c r="G133" t="str">
        <f t="shared" si="23"/>
        <v/>
      </c>
      <c r="CT133" t="str">
        <f t="shared" si="24"/>
        <v/>
      </c>
      <c r="CU133" s="33" t="str">
        <f>IFERROR(VLOOKUP(Procv!Q133,Procv!$C$1:$D$21,2,0),"")</f>
        <v/>
      </c>
    </row>
    <row r="134" spans="1:99" x14ac:dyDescent="0.25">
      <c r="A134" t="str">
        <f>IF('DADOS CSV'!J135="","",'DADOS CSV'!J135)</f>
        <v/>
      </c>
      <c r="B134" s="30" t="str">
        <f>IF('DADOS CSV'!K135="","",'DADOS CSV'!K135)</f>
        <v/>
      </c>
      <c r="C134" t="str">
        <f t="shared" si="20"/>
        <v/>
      </c>
      <c r="D134" t="str">
        <f t="shared" si="21"/>
        <v/>
      </c>
      <c r="E134" s="30" t="str">
        <f>IF('DADOS CSV'!L135="","",'DADOS CSV'!L135)</f>
        <v/>
      </c>
      <c r="F134" t="str">
        <f t="shared" si="22"/>
        <v/>
      </c>
      <c r="G134" t="str">
        <f t="shared" si="23"/>
        <v/>
      </c>
      <c r="CT134" t="str">
        <f t="shared" si="24"/>
        <v/>
      </c>
      <c r="CU134" s="33" t="str">
        <f>IFERROR(VLOOKUP(Procv!Q134,Procv!$C$1:$D$21,2,0),"")</f>
        <v/>
      </c>
    </row>
    <row r="135" spans="1:99" x14ac:dyDescent="0.25">
      <c r="A135" t="str">
        <f>IF('DADOS CSV'!J136="","",'DADOS CSV'!J136)</f>
        <v/>
      </c>
      <c r="B135" s="30" t="str">
        <f>IF('DADOS CSV'!K136="","",'DADOS CSV'!K136)</f>
        <v/>
      </c>
      <c r="C135" t="str">
        <f t="shared" si="20"/>
        <v/>
      </c>
      <c r="D135" t="str">
        <f t="shared" si="21"/>
        <v/>
      </c>
      <c r="E135" s="30" t="str">
        <f>IF('DADOS CSV'!L136="","",'DADOS CSV'!L136)</f>
        <v/>
      </c>
      <c r="F135" t="str">
        <f t="shared" si="22"/>
        <v/>
      </c>
      <c r="G135" t="str">
        <f t="shared" si="23"/>
        <v/>
      </c>
      <c r="CT135" t="str">
        <f t="shared" si="24"/>
        <v/>
      </c>
      <c r="CU135" s="33" t="str">
        <f>IFERROR(VLOOKUP(Procv!Q135,Procv!$C$1:$D$21,2,0),"")</f>
        <v/>
      </c>
    </row>
    <row r="136" spans="1:99" x14ac:dyDescent="0.25">
      <c r="A136" t="str">
        <f>IF('DADOS CSV'!J137="","",'DADOS CSV'!J137)</f>
        <v/>
      </c>
      <c r="B136" s="30" t="str">
        <f>IF('DADOS CSV'!K137="","",'DADOS CSV'!K137)</f>
        <v/>
      </c>
      <c r="C136" t="str">
        <f t="shared" si="20"/>
        <v/>
      </c>
      <c r="D136" t="str">
        <f t="shared" si="21"/>
        <v/>
      </c>
      <c r="E136" s="30" t="str">
        <f>IF('DADOS CSV'!L137="","",'DADOS CSV'!L137)</f>
        <v/>
      </c>
      <c r="F136" t="str">
        <f t="shared" si="22"/>
        <v/>
      </c>
      <c r="G136" t="str">
        <f t="shared" si="23"/>
        <v/>
      </c>
      <c r="CT136" t="str">
        <f t="shared" si="24"/>
        <v/>
      </c>
      <c r="CU136" s="33" t="str">
        <f>IFERROR(VLOOKUP(Procv!Q136,Procv!$C$1:$D$21,2,0),"")</f>
        <v/>
      </c>
    </row>
    <row r="137" spans="1:99" x14ac:dyDescent="0.25">
      <c r="A137" t="str">
        <f>IF('DADOS CSV'!J138="","",'DADOS CSV'!J138)</f>
        <v/>
      </c>
      <c r="B137" s="30" t="str">
        <f>IF('DADOS CSV'!K138="","",'DADOS CSV'!K138)</f>
        <v/>
      </c>
      <c r="C137" t="str">
        <f t="shared" si="20"/>
        <v/>
      </c>
      <c r="D137" t="str">
        <f t="shared" si="21"/>
        <v/>
      </c>
      <c r="E137" s="30" t="str">
        <f>IF('DADOS CSV'!L138="","",'DADOS CSV'!L138)</f>
        <v/>
      </c>
      <c r="F137" t="str">
        <f t="shared" si="22"/>
        <v/>
      </c>
      <c r="G137" t="str">
        <f t="shared" si="23"/>
        <v/>
      </c>
      <c r="CT137" t="str">
        <f t="shared" si="24"/>
        <v/>
      </c>
      <c r="CU137" s="33" t="str">
        <f>IFERROR(VLOOKUP(Procv!Q137,Procv!$C$1:$D$21,2,0),"")</f>
        <v/>
      </c>
    </row>
    <row r="138" spans="1:99" x14ac:dyDescent="0.25">
      <c r="A138" t="str">
        <f>IF('DADOS CSV'!J139="","",'DADOS CSV'!J139)</f>
        <v/>
      </c>
      <c r="B138" s="30" t="str">
        <f>IF('DADOS CSV'!K139="","",'DADOS CSV'!K139)</f>
        <v/>
      </c>
      <c r="C138" t="str">
        <f t="shared" si="20"/>
        <v/>
      </c>
      <c r="D138" t="str">
        <f t="shared" si="21"/>
        <v/>
      </c>
      <c r="E138" s="30" t="str">
        <f>IF('DADOS CSV'!L139="","",'DADOS CSV'!L139)</f>
        <v/>
      </c>
      <c r="F138" t="str">
        <f t="shared" si="22"/>
        <v/>
      </c>
      <c r="G138" t="str">
        <f t="shared" si="23"/>
        <v/>
      </c>
      <c r="CT138" t="str">
        <f t="shared" si="24"/>
        <v/>
      </c>
      <c r="CU138" s="33" t="str">
        <f>IFERROR(VLOOKUP(Procv!Q138,Procv!$C$1:$D$21,2,0),"")</f>
        <v/>
      </c>
    </row>
    <row r="139" spans="1:99" x14ac:dyDescent="0.25">
      <c r="A139" t="str">
        <f>IF('DADOS CSV'!J140="","",'DADOS CSV'!J140)</f>
        <v/>
      </c>
      <c r="B139" s="30" t="str">
        <f>IF('DADOS CSV'!K140="","",'DADOS CSV'!K140)</f>
        <v/>
      </c>
      <c r="C139" t="str">
        <f t="shared" si="20"/>
        <v/>
      </c>
      <c r="D139" t="str">
        <f t="shared" si="21"/>
        <v/>
      </c>
      <c r="E139" s="30" t="str">
        <f>IF('DADOS CSV'!L140="","",'DADOS CSV'!L140)</f>
        <v/>
      </c>
      <c r="F139" t="str">
        <f t="shared" si="22"/>
        <v/>
      </c>
      <c r="G139" t="str">
        <f t="shared" si="23"/>
        <v/>
      </c>
      <c r="CT139" t="str">
        <f t="shared" si="24"/>
        <v/>
      </c>
      <c r="CU139" s="33" t="str">
        <f>IFERROR(VLOOKUP(Procv!Q139,Procv!$C$1:$D$21,2,0),"")</f>
        <v/>
      </c>
    </row>
    <row r="140" spans="1:99" x14ac:dyDescent="0.25">
      <c r="A140" t="str">
        <f>IF('DADOS CSV'!J141="","",'DADOS CSV'!J141)</f>
        <v/>
      </c>
      <c r="B140" s="30" t="str">
        <f>IF('DADOS CSV'!K141="","",'DADOS CSV'!K141)</f>
        <v/>
      </c>
      <c r="C140" t="str">
        <f t="shared" si="20"/>
        <v/>
      </c>
      <c r="D140" t="str">
        <f t="shared" si="21"/>
        <v/>
      </c>
      <c r="E140" s="30" t="str">
        <f>IF('DADOS CSV'!L141="","",'DADOS CSV'!L141)</f>
        <v/>
      </c>
      <c r="F140" t="str">
        <f t="shared" si="22"/>
        <v/>
      </c>
      <c r="G140" t="str">
        <f t="shared" si="23"/>
        <v/>
      </c>
      <c r="CT140" t="str">
        <f t="shared" si="24"/>
        <v/>
      </c>
      <c r="CU140" s="33" t="str">
        <f>IFERROR(VLOOKUP(Procv!Q140,Procv!$C$1:$D$21,2,0),"")</f>
        <v/>
      </c>
    </row>
    <row r="141" spans="1:99" x14ac:dyDescent="0.25">
      <c r="A141" t="str">
        <f>IF('DADOS CSV'!J142="","",'DADOS CSV'!J142)</f>
        <v/>
      </c>
      <c r="B141" s="30" t="str">
        <f>IF('DADOS CSV'!K142="","",'DADOS CSV'!K142)</f>
        <v/>
      </c>
      <c r="C141" t="str">
        <f t="shared" si="20"/>
        <v/>
      </c>
      <c r="D141" t="str">
        <f t="shared" si="21"/>
        <v/>
      </c>
      <c r="E141" s="30" t="str">
        <f>IF('DADOS CSV'!L142="","",'DADOS CSV'!L142)</f>
        <v/>
      </c>
      <c r="F141" t="str">
        <f t="shared" si="22"/>
        <v/>
      </c>
      <c r="G141" t="str">
        <f t="shared" si="23"/>
        <v/>
      </c>
      <c r="CT141" t="str">
        <f t="shared" si="24"/>
        <v/>
      </c>
      <c r="CU141" s="33" t="str">
        <f>IFERROR(VLOOKUP(Procv!Q141,Procv!$C$1:$D$21,2,0),"")</f>
        <v/>
      </c>
    </row>
    <row r="142" spans="1:99" x14ac:dyDescent="0.25">
      <c r="A142" t="str">
        <f>IF('DADOS CSV'!J143="","",'DADOS CSV'!J143)</f>
        <v/>
      </c>
      <c r="B142" s="30" t="str">
        <f>IF('DADOS CSV'!K143="","",'DADOS CSV'!K143)</f>
        <v/>
      </c>
      <c r="C142" t="str">
        <f t="shared" si="20"/>
        <v/>
      </c>
      <c r="D142" t="str">
        <f t="shared" si="21"/>
        <v/>
      </c>
      <c r="E142" s="30" t="str">
        <f>IF('DADOS CSV'!L143="","",'DADOS CSV'!L143)</f>
        <v/>
      </c>
      <c r="F142" t="str">
        <f t="shared" si="22"/>
        <v/>
      </c>
      <c r="G142" t="str">
        <f t="shared" si="23"/>
        <v/>
      </c>
      <c r="CT142" t="str">
        <f t="shared" si="24"/>
        <v/>
      </c>
      <c r="CU142" s="33" t="str">
        <f>IFERROR(VLOOKUP(Procv!Q142,Procv!$C$1:$D$21,2,0),"")</f>
        <v/>
      </c>
    </row>
    <row r="143" spans="1:99" x14ac:dyDescent="0.25">
      <c r="A143" t="str">
        <f>IF('DADOS CSV'!J144="","",'DADOS CSV'!J144)</f>
        <v/>
      </c>
      <c r="B143" s="30" t="str">
        <f>IF('DADOS CSV'!K144="","",'DADOS CSV'!K144)</f>
        <v/>
      </c>
      <c r="C143" t="str">
        <f t="shared" si="20"/>
        <v/>
      </c>
      <c r="D143" t="str">
        <f t="shared" si="21"/>
        <v/>
      </c>
      <c r="E143" s="30" t="str">
        <f>IF('DADOS CSV'!L144="","",'DADOS CSV'!L144)</f>
        <v/>
      </c>
      <c r="F143" t="str">
        <f t="shared" si="22"/>
        <v/>
      </c>
      <c r="G143" t="str">
        <f t="shared" si="23"/>
        <v/>
      </c>
      <c r="CT143" t="str">
        <f t="shared" si="24"/>
        <v/>
      </c>
      <c r="CU143" s="33" t="str">
        <f>IFERROR(VLOOKUP(Procv!Q143,Procv!$C$1:$D$21,2,0),"")</f>
        <v/>
      </c>
    </row>
    <row r="144" spans="1:99" x14ac:dyDescent="0.25">
      <c r="A144" t="str">
        <f>IF('DADOS CSV'!J145="","",'DADOS CSV'!J145)</f>
        <v/>
      </c>
      <c r="B144" s="30" t="str">
        <f>IF('DADOS CSV'!K145="","",'DADOS CSV'!K145)</f>
        <v/>
      </c>
      <c r="C144" t="str">
        <f t="shared" si="20"/>
        <v/>
      </c>
      <c r="D144" t="str">
        <f t="shared" si="21"/>
        <v/>
      </c>
      <c r="E144" s="30" t="str">
        <f>IF('DADOS CSV'!L145="","",'DADOS CSV'!L145)</f>
        <v/>
      </c>
      <c r="F144" t="str">
        <f t="shared" si="22"/>
        <v/>
      </c>
      <c r="G144" t="str">
        <f t="shared" si="23"/>
        <v/>
      </c>
      <c r="CT144" t="str">
        <f t="shared" si="24"/>
        <v/>
      </c>
      <c r="CU144" s="33" t="str">
        <f>IFERROR(VLOOKUP(Procv!Q144,Procv!$C$1:$D$21,2,0),"")</f>
        <v/>
      </c>
    </row>
    <row r="145" spans="1:99" x14ac:dyDescent="0.25">
      <c r="A145" t="str">
        <f>IF('DADOS CSV'!J146="","",'DADOS CSV'!J146)</f>
        <v/>
      </c>
      <c r="B145" s="30" t="str">
        <f>IF('DADOS CSV'!K146="","",'DADOS CSV'!K146)</f>
        <v/>
      </c>
      <c r="C145" t="str">
        <f t="shared" si="20"/>
        <v/>
      </c>
      <c r="D145" t="str">
        <f t="shared" si="21"/>
        <v/>
      </c>
      <c r="E145" s="30" t="str">
        <f>IF('DADOS CSV'!L146="","",'DADOS CSV'!L146)</f>
        <v/>
      </c>
      <c r="F145" t="str">
        <f t="shared" si="22"/>
        <v/>
      </c>
      <c r="G145" t="str">
        <f t="shared" si="23"/>
        <v/>
      </c>
      <c r="CT145" t="str">
        <f t="shared" si="24"/>
        <v/>
      </c>
      <c r="CU145" s="33" t="str">
        <f>IFERROR(VLOOKUP(Procv!Q145,Procv!$C$1:$D$21,2,0),"")</f>
        <v/>
      </c>
    </row>
    <row r="146" spans="1:99" x14ac:dyDescent="0.25">
      <c r="A146" t="str">
        <f>IF('DADOS CSV'!J147="","",'DADOS CSV'!J147)</f>
        <v/>
      </c>
      <c r="B146" s="30" t="str">
        <f>IF('DADOS CSV'!K147="","",'DADOS CSV'!K147)</f>
        <v/>
      </c>
      <c r="C146" t="str">
        <f t="shared" si="20"/>
        <v/>
      </c>
      <c r="D146" t="str">
        <f t="shared" si="21"/>
        <v/>
      </c>
      <c r="E146" s="30" t="str">
        <f>IF('DADOS CSV'!L147="","",'DADOS CSV'!L147)</f>
        <v/>
      </c>
      <c r="F146" t="str">
        <f t="shared" si="22"/>
        <v/>
      </c>
      <c r="G146" t="str">
        <f t="shared" si="23"/>
        <v/>
      </c>
      <c r="CT146" t="str">
        <f t="shared" si="24"/>
        <v/>
      </c>
      <c r="CU146" s="33" t="str">
        <f>IFERROR(VLOOKUP(Procv!Q146,Procv!$C$1:$D$21,2,0),"")</f>
        <v/>
      </c>
    </row>
    <row r="147" spans="1:99" x14ac:dyDescent="0.25">
      <c r="A147" t="str">
        <f>IF('DADOS CSV'!J148="","",'DADOS CSV'!J148)</f>
        <v/>
      </c>
      <c r="B147" s="30" t="str">
        <f>IF('DADOS CSV'!K148="","",'DADOS CSV'!K148)</f>
        <v/>
      </c>
      <c r="C147" t="str">
        <f t="shared" si="20"/>
        <v/>
      </c>
      <c r="D147" t="str">
        <f t="shared" si="21"/>
        <v/>
      </c>
      <c r="E147" s="30" t="str">
        <f>IF('DADOS CSV'!L148="","",'DADOS CSV'!L148)</f>
        <v/>
      </c>
      <c r="F147" t="str">
        <f t="shared" si="22"/>
        <v/>
      </c>
      <c r="G147" t="str">
        <f t="shared" si="23"/>
        <v/>
      </c>
      <c r="CT147" t="str">
        <f t="shared" si="24"/>
        <v/>
      </c>
      <c r="CU147" s="33" t="str">
        <f>IFERROR(VLOOKUP(Procv!Q147,Procv!$C$1:$D$21,2,0),"")</f>
        <v/>
      </c>
    </row>
    <row r="148" spans="1:99" x14ac:dyDescent="0.25">
      <c r="A148" t="str">
        <f>IF('DADOS CSV'!J149="","",'DADOS CSV'!J149)</f>
        <v/>
      </c>
      <c r="B148" s="30" t="str">
        <f>IF('DADOS CSV'!K149="","",'DADOS CSV'!K149)</f>
        <v/>
      </c>
      <c r="C148" t="str">
        <f t="shared" si="20"/>
        <v/>
      </c>
      <c r="D148" t="str">
        <f t="shared" si="21"/>
        <v/>
      </c>
      <c r="E148" s="30" t="str">
        <f>IF('DADOS CSV'!L149="","",'DADOS CSV'!L149)</f>
        <v/>
      </c>
      <c r="F148" t="str">
        <f t="shared" si="22"/>
        <v/>
      </c>
      <c r="G148" t="str">
        <f t="shared" si="23"/>
        <v/>
      </c>
      <c r="CT148" t="str">
        <f t="shared" si="24"/>
        <v/>
      </c>
      <c r="CU148" s="33" t="str">
        <f>IFERROR(VLOOKUP(Procv!Q148,Procv!$C$1:$D$21,2,0),"")</f>
        <v/>
      </c>
    </row>
    <row r="149" spans="1:99" x14ac:dyDescent="0.25">
      <c r="A149" t="str">
        <f>IF('DADOS CSV'!J150="","",'DADOS CSV'!J150)</f>
        <v/>
      </c>
      <c r="B149" s="30" t="str">
        <f>IF('DADOS CSV'!K150="","",'DADOS CSV'!K150)</f>
        <v/>
      </c>
      <c r="C149" t="str">
        <f t="shared" si="20"/>
        <v/>
      </c>
      <c r="D149" t="str">
        <f t="shared" si="21"/>
        <v/>
      </c>
      <c r="E149" s="30" t="str">
        <f>IF('DADOS CSV'!L150="","",'DADOS CSV'!L150)</f>
        <v/>
      </c>
      <c r="F149" t="str">
        <f t="shared" si="22"/>
        <v/>
      </c>
      <c r="G149" t="str">
        <f t="shared" si="23"/>
        <v/>
      </c>
      <c r="CT149" t="str">
        <f t="shared" si="24"/>
        <v/>
      </c>
      <c r="CU149" s="33" t="str">
        <f>IFERROR(VLOOKUP(Procv!Q149,Procv!$C$1:$D$21,2,0),"")</f>
        <v/>
      </c>
    </row>
    <row r="150" spans="1:99" x14ac:dyDescent="0.25">
      <c r="A150" t="str">
        <f>IF('DADOS CSV'!J151="","",'DADOS CSV'!J151)</f>
        <v/>
      </c>
      <c r="B150" s="30" t="str">
        <f>IF('DADOS CSV'!K151="","",'DADOS CSV'!K151)</f>
        <v/>
      </c>
      <c r="C150" t="str">
        <f t="shared" si="20"/>
        <v/>
      </c>
      <c r="D150" t="str">
        <f t="shared" si="21"/>
        <v/>
      </c>
      <c r="E150" s="30" t="str">
        <f>IF('DADOS CSV'!L151="","",'DADOS CSV'!L151)</f>
        <v/>
      </c>
      <c r="F150" t="str">
        <f t="shared" si="22"/>
        <v/>
      </c>
      <c r="G150" t="str">
        <f t="shared" si="23"/>
        <v/>
      </c>
      <c r="CT150" t="str">
        <f t="shared" si="24"/>
        <v/>
      </c>
      <c r="CU150" s="33" t="str">
        <f>IFERROR(VLOOKUP(Procv!Q150,Procv!$C$1:$D$21,2,0),"")</f>
        <v/>
      </c>
    </row>
    <row r="151" spans="1:99" x14ac:dyDescent="0.25">
      <c r="A151" t="str">
        <f>IF('DADOS CSV'!J152="","",'DADOS CSV'!J152)</f>
        <v/>
      </c>
      <c r="B151" s="30" t="str">
        <f>IF('DADOS CSV'!K152="","",'DADOS CSV'!K152)</f>
        <v/>
      </c>
      <c r="C151" t="str">
        <f t="shared" si="20"/>
        <v/>
      </c>
      <c r="D151" t="str">
        <f t="shared" si="21"/>
        <v/>
      </c>
      <c r="E151" s="30" t="str">
        <f>IF('DADOS CSV'!L152="","",'DADOS CSV'!L152)</f>
        <v/>
      </c>
      <c r="F151" t="str">
        <f t="shared" si="22"/>
        <v/>
      </c>
      <c r="G151" t="str">
        <f t="shared" si="23"/>
        <v/>
      </c>
      <c r="CT151" t="str">
        <f t="shared" si="24"/>
        <v/>
      </c>
      <c r="CU151" s="33" t="str">
        <f>IFERROR(VLOOKUP(Procv!Q151,Procv!$C$1:$D$21,2,0),"")</f>
        <v/>
      </c>
    </row>
    <row r="152" spans="1:99" x14ac:dyDescent="0.25">
      <c r="A152" t="str">
        <f>IF('DADOS CSV'!J153="","",'DADOS CSV'!J153)</f>
        <v/>
      </c>
      <c r="B152" s="30" t="str">
        <f>IF('DADOS CSV'!K153="","",'DADOS CSV'!K153)</f>
        <v/>
      </c>
      <c r="C152" t="str">
        <f t="shared" si="20"/>
        <v/>
      </c>
      <c r="D152" t="str">
        <f t="shared" si="21"/>
        <v/>
      </c>
      <c r="E152" s="30" t="str">
        <f>IF('DADOS CSV'!L153="","",'DADOS CSV'!L153)</f>
        <v/>
      </c>
      <c r="F152" t="str">
        <f t="shared" si="22"/>
        <v/>
      </c>
      <c r="G152" t="str">
        <f t="shared" si="23"/>
        <v/>
      </c>
      <c r="CT152" t="str">
        <f t="shared" si="24"/>
        <v/>
      </c>
      <c r="CU152" s="33" t="str">
        <f>IFERROR(VLOOKUP(Procv!Q152,Procv!$C$1:$D$21,2,0),"")</f>
        <v/>
      </c>
    </row>
    <row r="153" spans="1:99" x14ac:dyDescent="0.25">
      <c r="A153" t="str">
        <f>IF('DADOS CSV'!J154="","",'DADOS CSV'!J154)</f>
        <v/>
      </c>
      <c r="B153" s="30" t="str">
        <f>IF('DADOS CSV'!K154="","",'DADOS CSV'!K154)</f>
        <v/>
      </c>
      <c r="C153" t="str">
        <f t="shared" si="20"/>
        <v/>
      </c>
      <c r="D153" t="str">
        <f t="shared" si="21"/>
        <v/>
      </c>
      <c r="E153" s="30" t="str">
        <f>IF('DADOS CSV'!L154="","",'DADOS CSV'!L154)</f>
        <v/>
      </c>
      <c r="F153" t="str">
        <f t="shared" si="22"/>
        <v/>
      </c>
      <c r="G153" t="str">
        <f t="shared" si="23"/>
        <v/>
      </c>
      <c r="CT153" t="str">
        <f t="shared" si="24"/>
        <v/>
      </c>
      <c r="CU153" s="33" t="str">
        <f>IFERROR(VLOOKUP(Procv!Q153,Procv!$C$1:$D$21,2,0),"")</f>
        <v/>
      </c>
    </row>
    <row r="154" spans="1:99" x14ac:dyDescent="0.25">
      <c r="A154" t="str">
        <f>IF('DADOS CSV'!J155="","",'DADOS CSV'!J155)</f>
        <v/>
      </c>
      <c r="B154" s="30" t="str">
        <f>IF('DADOS CSV'!K155="","",'DADOS CSV'!K155)</f>
        <v/>
      </c>
      <c r="C154" t="str">
        <f t="shared" si="20"/>
        <v/>
      </c>
      <c r="D154" t="str">
        <f t="shared" si="21"/>
        <v/>
      </c>
      <c r="E154" s="30" t="str">
        <f>IF('DADOS CSV'!L155="","",'DADOS CSV'!L155)</f>
        <v/>
      </c>
      <c r="F154" t="str">
        <f t="shared" si="22"/>
        <v/>
      </c>
      <c r="G154" t="str">
        <f t="shared" si="23"/>
        <v/>
      </c>
      <c r="CT154" t="str">
        <f t="shared" si="24"/>
        <v/>
      </c>
      <c r="CU154" s="33" t="str">
        <f>IFERROR(VLOOKUP(Procv!Q154,Procv!$C$1:$D$21,2,0),"")</f>
        <v/>
      </c>
    </row>
    <row r="155" spans="1:99" x14ac:dyDescent="0.25">
      <c r="A155" t="str">
        <f>IF('DADOS CSV'!J156="","",'DADOS CSV'!J156)</f>
        <v/>
      </c>
      <c r="B155" s="30" t="str">
        <f>IF('DADOS CSV'!K156="","",'DADOS CSV'!K156)</f>
        <v/>
      </c>
      <c r="C155" t="str">
        <f t="shared" si="20"/>
        <v/>
      </c>
      <c r="D155" t="str">
        <f t="shared" si="21"/>
        <v/>
      </c>
      <c r="E155" s="30" t="str">
        <f>IF('DADOS CSV'!L156="","",'DADOS CSV'!L156)</f>
        <v/>
      </c>
      <c r="F155" t="str">
        <f t="shared" si="22"/>
        <v/>
      </c>
      <c r="G155" t="str">
        <f t="shared" si="23"/>
        <v/>
      </c>
      <c r="CT155" t="str">
        <f t="shared" si="24"/>
        <v/>
      </c>
      <c r="CU155" s="33" t="str">
        <f>IFERROR(VLOOKUP(Procv!Q155,Procv!$C$1:$D$21,2,0),"")</f>
        <v/>
      </c>
    </row>
    <row r="156" spans="1:99" x14ac:dyDescent="0.25">
      <c r="A156" t="str">
        <f>IF('DADOS CSV'!J157="","",'DADOS CSV'!J157)</f>
        <v/>
      </c>
      <c r="B156" s="30" t="str">
        <f>IF('DADOS CSV'!K157="","",'DADOS CSV'!K157)</f>
        <v/>
      </c>
      <c r="C156" t="str">
        <f t="shared" si="20"/>
        <v/>
      </c>
      <c r="D156" t="str">
        <f t="shared" si="21"/>
        <v/>
      </c>
      <c r="E156" s="30" t="str">
        <f>IF('DADOS CSV'!L157="","",'DADOS CSV'!L157)</f>
        <v/>
      </c>
      <c r="F156" t="str">
        <f t="shared" si="22"/>
        <v/>
      </c>
      <c r="G156" t="str">
        <f t="shared" si="23"/>
        <v/>
      </c>
      <c r="CT156" t="str">
        <f t="shared" si="24"/>
        <v/>
      </c>
      <c r="CU156" s="33" t="str">
        <f>IFERROR(VLOOKUP(Procv!Q156,Procv!$C$1:$D$21,2,0),"")</f>
        <v/>
      </c>
    </row>
    <row r="157" spans="1:99" x14ac:dyDescent="0.25">
      <c r="A157" t="str">
        <f>IF('DADOS CSV'!J158="","",'DADOS CSV'!J158)</f>
        <v/>
      </c>
      <c r="B157" s="30" t="str">
        <f>IF('DADOS CSV'!K158="","",'DADOS CSV'!K158)</f>
        <v/>
      </c>
      <c r="C157" t="str">
        <f t="shared" si="20"/>
        <v/>
      </c>
      <c r="D157" t="str">
        <f t="shared" si="21"/>
        <v/>
      </c>
      <c r="E157" s="30" t="str">
        <f>IF('DADOS CSV'!L158="","",'DADOS CSV'!L158)</f>
        <v/>
      </c>
      <c r="F157" t="str">
        <f t="shared" si="22"/>
        <v/>
      </c>
      <c r="G157" t="str">
        <f t="shared" si="23"/>
        <v/>
      </c>
      <c r="CT157" t="str">
        <f t="shared" si="24"/>
        <v/>
      </c>
      <c r="CU157" s="33" t="str">
        <f>IFERROR(VLOOKUP(Procv!Q157,Procv!$C$1:$D$21,2,0),"")</f>
        <v/>
      </c>
    </row>
    <row r="158" spans="1:99" x14ac:dyDescent="0.25">
      <c r="A158" t="str">
        <f>IF('DADOS CSV'!J159="","",'DADOS CSV'!J159)</f>
        <v/>
      </c>
      <c r="B158" s="30" t="str">
        <f>IF('DADOS CSV'!K159="","",'DADOS CSV'!K159)</f>
        <v/>
      </c>
      <c r="C158" t="str">
        <f t="shared" si="20"/>
        <v/>
      </c>
      <c r="D158" t="str">
        <f t="shared" si="21"/>
        <v/>
      </c>
      <c r="E158" s="30" t="str">
        <f>IF('DADOS CSV'!L159="","",'DADOS CSV'!L159)</f>
        <v/>
      </c>
      <c r="F158" t="str">
        <f t="shared" si="22"/>
        <v/>
      </c>
      <c r="G158" t="str">
        <f t="shared" si="23"/>
        <v/>
      </c>
      <c r="CT158" t="str">
        <f t="shared" si="24"/>
        <v/>
      </c>
      <c r="CU158" s="33" t="str">
        <f>IFERROR(VLOOKUP(Procv!Q158,Procv!$C$1:$D$21,2,0),"")</f>
        <v/>
      </c>
    </row>
    <row r="159" spans="1:99" x14ac:dyDescent="0.25">
      <c r="A159" t="str">
        <f>IF('DADOS CSV'!J160="","",'DADOS CSV'!J160)</f>
        <v/>
      </c>
      <c r="B159" s="30" t="str">
        <f>IF('DADOS CSV'!K160="","",'DADOS CSV'!K160)</f>
        <v/>
      </c>
      <c r="C159" t="str">
        <f t="shared" si="20"/>
        <v/>
      </c>
      <c r="D159" t="str">
        <f t="shared" si="21"/>
        <v/>
      </c>
      <c r="E159" s="30" t="str">
        <f>IF('DADOS CSV'!L160="","",'DADOS CSV'!L160)</f>
        <v/>
      </c>
      <c r="F159" t="str">
        <f t="shared" si="22"/>
        <v/>
      </c>
      <c r="G159" t="str">
        <f t="shared" si="23"/>
        <v/>
      </c>
      <c r="CT159" t="str">
        <f t="shared" si="24"/>
        <v/>
      </c>
      <c r="CU159" s="33" t="str">
        <f>IFERROR(VLOOKUP(Procv!Q159,Procv!$C$1:$D$21,2,0),"")</f>
        <v/>
      </c>
    </row>
    <row r="160" spans="1:99" x14ac:dyDescent="0.25">
      <c r="A160" t="str">
        <f>IF('DADOS CSV'!J161="","",'DADOS CSV'!J161)</f>
        <v/>
      </c>
      <c r="B160" s="30" t="str">
        <f>IF('DADOS CSV'!K161="","",'DADOS CSV'!K161)</f>
        <v/>
      </c>
      <c r="C160" t="str">
        <f t="shared" si="20"/>
        <v/>
      </c>
      <c r="D160" t="str">
        <f t="shared" si="21"/>
        <v/>
      </c>
      <c r="E160" s="30" t="str">
        <f>IF('DADOS CSV'!L161="","",'DADOS CSV'!L161)</f>
        <v/>
      </c>
      <c r="F160" t="str">
        <f t="shared" si="22"/>
        <v/>
      </c>
      <c r="G160" t="str">
        <f t="shared" si="23"/>
        <v/>
      </c>
      <c r="CT160" t="str">
        <f t="shared" si="24"/>
        <v/>
      </c>
      <c r="CU160" s="33" t="str">
        <f>IFERROR(VLOOKUP(Procv!Q160,Procv!$C$1:$D$21,2,0),"")</f>
        <v/>
      </c>
    </row>
    <row r="161" spans="1:99" x14ac:dyDescent="0.25">
      <c r="A161" t="str">
        <f>IF('DADOS CSV'!J162="","",'DADOS CSV'!J162)</f>
        <v/>
      </c>
      <c r="B161" s="30" t="str">
        <f>IF('DADOS CSV'!K162="","",'DADOS CSV'!K162)</f>
        <v/>
      </c>
      <c r="C161" t="str">
        <f t="shared" si="20"/>
        <v/>
      </c>
      <c r="D161" t="str">
        <f t="shared" si="21"/>
        <v/>
      </c>
      <c r="E161" s="30" t="str">
        <f>IF('DADOS CSV'!L162="","",'DADOS CSV'!L162)</f>
        <v/>
      </c>
      <c r="F161" t="str">
        <f t="shared" si="22"/>
        <v/>
      </c>
      <c r="G161" t="str">
        <f t="shared" si="23"/>
        <v/>
      </c>
      <c r="CT161" t="str">
        <f t="shared" si="24"/>
        <v/>
      </c>
      <c r="CU161" s="33" t="str">
        <f>IFERROR(VLOOKUP(Procv!Q161,Procv!$C$1:$D$21,2,0),"")</f>
        <v/>
      </c>
    </row>
    <row r="162" spans="1:99" x14ac:dyDescent="0.25">
      <c r="A162" t="str">
        <f>IF('DADOS CSV'!J163="","",'DADOS CSV'!J163)</f>
        <v/>
      </c>
      <c r="B162" s="30" t="str">
        <f>IF('DADOS CSV'!K163="","",'DADOS CSV'!K163)</f>
        <v/>
      </c>
      <c r="C162" t="str">
        <f t="shared" si="20"/>
        <v/>
      </c>
      <c r="D162" t="str">
        <f t="shared" si="21"/>
        <v/>
      </c>
      <c r="E162" s="30" t="str">
        <f>IF('DADOS CSV'!L163="","",'DADOS CSV'!L163)</f>
        <v/>
      </c>
      <c r="F162" t="str">
        <f t="shared" si="22"/>
        <v/>
      </c>
      <c r="G162" t="str">
        <f t="shared" si="23"/>
        <v/>
      </c>
      <c r="CT162" t="str">
        <f t="shared" si="24"/>
        <v/>
      </c>
      <c r="CU162" s="33" t="str">
        <f>IFERROR(VLOOKUP(Procv!Q162,Procv!$C$1:$D$21,2,0),"")</f>
        <v/>
      </c>
    </row>
    <row r="163" spans="1:99" x14ac:dyDescent="0.25">
      <c r="A163" t="str">
        <f>IF('DADOS CSV'!J164="","",'DADOS CSV'!J164)</f>
        <v/>
      </c>
      <c r="B163" s="30" t="str">
        <f>IF('DADOS CSV'!K164="","",'DADOS CSV'!K164)</f>
        <v/>
      </c>
      <c r="C163" t="str">
        <f t="shared" ref="C163:C199" si="25">IF(A163="","",$C$2)</f>
        <v/>
      </c>
      <c r="D163" t="str">
        <f t="shared" ref="D163:D199" si="26">IF(A163="","",$D$2)</f>
        <v/>
      </c>
      <c r="E163" s="30" t="str">
        <f>IF('DADOS CSV'!L164="","",'DADOS CSV'!L164)</f>
        <v/>
      </c>
      <c r="F163" t="str">
        <f t="shared" ref="F163:F199" si="27">IF(A163="","",$F$2)</f>
        <v/>
      </c>
      <c r="G163" t="str">
        <f t="shared" ref="G163:G199" si="28">IF(A163="","",$G$2)</f>
        <v/>
      </c>
      <c r="CT163" t="str">
        <f t="shared" ref="CT163:CT199" si="29">IF(A163="","",$CT$2)</f>
        <v/>
      </c>
      <c r="CU163" s="33" t="str">
        <f>IFERROR(VLOOKUP(Procv!Q163,Procv!$C$1:$D$21,2,0),"")</f>
        <v/>
      </c>
    </row>
    <row r="164" spans="1:99" x14ac:dyDescent="0.25">
      <c r="A164" t="str">
        <f>IF('DADOS CSV'!J165="","",'DADOS CSV'!J165)</f>
        <v/>
      </c>
      <c r="B164" s="30" t="str">
        <f>IF('DADOS CSV'!K165="","",'DADOS CSV'!K165)</f>
        <v/>
      </c>
      <c r="C164" t="str">
        <f t="shared" si="25"/>
        <v/>
      </c>
      <c r="D164" t="str">
        <f t="shared" si="26"/>
        <v/>
      </c>
      <c r="E164" s="30" t="str">
        <f>IF('DADOS CSV'!L165="","",'DADOS CSV'!L165)</f>
        <v/>
      </c>
      <c r="F164" t="str">
        <f t="shared" si="27"/>
        <v/>
      </c>
      <c r="G164" t="str">
        <f t="shared" si="28"/>
        <v/>
      </c>
      <c r="CT164" t="str">
        <f t="shared" si="29"/>
        <v/>
      </c>
      <c r="CU164" s="33" t="str">
        <f>IFERROR(VLOOKUP(Procv!Q164,Procv!$C$1:$D$21,2,0),"")</f>
        <v/>
      </c>
    </row>
    <row r="165" spans="1:99" x14ac:dyDescent="0.25">
      <c r="A165" t="str">
        <f>IF('DADOS CSV'!J166="","",'DADOS CSV'!J166)</f>
        <v/>
      </c>
      <c r="B165" s="30" t="str">
        <f>IF('DADOS CSV'!K166="","",'DADOS CSV'!K166)</f>
        <v/>
      </c>
      <c r="C165" t="str">
        <f t="shared" si="25"/>
        <v/>
      </c>
      <c r="D165" t="str">
        <f t="shared" si="26"/>
        <v/>
      </c>
      <c r="E165" s="30" t="str">
        <f>IF('DADOS CSV'!L166="","",'DADOS CSV'!L166)</f>
        <v/>
      </c>
      <c r="F165" t="str">
        <f t="shared" si="27"/>
        <v/>
      </c>
      <c r="G165" t="str">
        <f t="shared" si="28"/>
        <v/>
      </c>
      <c r="CT165" t="str">
        <f t="shared" si="29"/>
        <v/>
      </c>
      <c r="CU165" s="33" t="str">
        <f>IFERROR(VLOOKUP(Procv!Q165,Procv!$C$1:$D$21,2,0),"")</f>
        <v/>
      </c>
    </row>
    <row r="166" spans="1:99" x14ac:dyDescent="0.25">
      <c r="A166" t="str">
        <f>IF('DADOS CSV'!J167="","",'DADOS CSV'!J167)</f>
        <v/>
      </c>
      <c r="B166" s="30" t="str">
        <f>IF('DADOS CSV'!K167="","",'DADOS CSV'!K167)</f>
        <v/>
      </c>
      <c r="C166" t="str">
        <f t="shared" si="25"/>
        <v/>
      </c>
      <c r="D166" t="str">
        <f t="shared" si="26"/>
        <v/>
      </c>
      <c r="E166" s="30" t="str">
        <f>IF('DADOS CSV'!L167="","",'DADOS CSV'!L167)</f>
        <v/>
      </c>
      <c r="F166" t="str">
        <f t="shared" si="27"/>
        <v/>
      </c>
      <c r="G166" t="str">
        <f t="shared" si="28"/>
        <v/>
      </c>
      <c r="CT166" t="str">
        <f t="shared" si="29"/>
        <v/>
      </c>
      <c r="CU166" s="33" t="str">
        <f>IFERROR(VLOOKUP(Procv!Q166,Procv!$C$1:$D$21,2,0),"")</f>
        <v/>
      </c>
    </row>
    <row r="167" spans="1:99" x14ac:dyDescent="0.25">
      <c r="A167" t="str">
        <f>IF('DADOS CSV'!J168="","",'DADOS CSV'!J168)</f>
        <v/>
      </c>
      <c r="B167" s="30" t="str">
        <f>IF('DADOS CSV'!K168="","",'DADOS CSV'!K168)</f>
        <v/>
      </c>
      <c r="C167" t="str">
        <f t="shared" si="25"/>
        <v/>
      </c>
      <c r="D167" t="str">
        <f t="shared" si="26"/>
        <v/>
      </c>
      <c r="E167" s="30" t="str">
        <f>IF('DADOS CSV'!L168="","",'DADOS CSV'!L168)</f>
        <v/>
      </c>
      <c r="F167" t="str">
        <f t="shared" si="27"/>
        <v/>
      </c>
      <c r="G167" t="str">
        <f t="shared" si="28"/>
        <v/>
      </c>
      <c r="CT167" t="str">
        <f t="shared" si="29"/>
        <v/>
      </c>
      <c r="CU167" s="33" t="str">
        <f>IFERROR(VLOOKUP(Procv!Q167,Procv!$C$1:$D$21,2,0),"")</f>
        <v/>
      </c>
    </row>
    <row r="168" spans="1:99" x14ac:dyDescent="0.25">
      <c r="A168" t="str">
        <f>IF('DADOS CSV'!J169="","",'DADOS CSV'!J169)</f>
        <v/>
      </c>
      <c r="B168" s="30" t="str">
        <f>IF('DADOS CSV'!K169="","",'DADOS CSV'!K169)</f>
        <v/>
      </c>
      <c r="C168" t="str">
        <f t="shared" si="25"/>
        <v/>
      </c>
      <c r="D168" t="str">
        <f t="shared" si="26"/>
        <v/>
      </c>
      <c r="E168" s="30" t="str">
        <f>IF('DADOS CSV'!L169="","",'DADOS CSV'!L169)</f>
        <v/>
      </c>
      <c r="F168" t="str">
        <f t="shared" si="27"/>
        <v/>
      </c>
      <c r="G168" t="str">
        <f t="shared" si="28"/>
        <v/>
      </c>
      <c r="CT168" t="str">
        <f t="shared" si="29"/>
        <v/>
      </c>
      <c r="CU168" s="33" t="str">
        <f>IFERROR(VLOOKUP(Procv!Q168,Procv!$C$1:$D$21,2,0),"")</f>
        <v/>
      </c>
    </row>
    <row r="169" spans="1:99" x14ac:dyDescent="0.25">
      <c r="A169" t="str">
        <f>IF('DADOS CSV'!J170="","",'DADOS CSV'!J170)</f>
        <v/>
      </c>
      <c r="B169" s="30" t="str">
        <f>IF('DADOS CSV'!K170="","",'DADOS CSV'!K170)</f>
        <v/>
      </c>
      <c r="C169" t="str">
        <f t="shared" si="25"/>
        <v/>
      </c>
      <c r="D169" t="str">
        <f t="shared" si="26"/>
        <v/>
      </c>
      <c r="E169" s="30" t="str">
        <f>IF('DADOS CSV'!L170="","",'DADOS CSV'!L170)</f>
        <v/>
      </c>
      <c r="F169" t="str">
        <f t="shared" si="27"/>
        <v/>
      </c>
      <c r="G169" t="str">
        <f t="shared" si="28"/>
        <v/>
      </c>
      <c r="CT169" t="str">
        <f t="shared" si="29"/>
        <v/>
      </c>
      <c r="CU169" s="33" t="str">
        <f>IFERROR(VLOOKUP(Procv!Q169,Procv!$C$1:$D$21,2,0),"")</f>
        <v/>
      </c>
    </row>
    <row r="170" spans="1:99" x14ac:dyDescent="0.25">
      <c r="A170" t="str">
        <f>IF('DADOS CSV'!J171="","",'DADOS CSV'!J171)</f>
        <v/>
      </c>
      <c r="B170" s="30" t="str">
        <f>IF('DADOS CSV'!K171="","",'DADOS CSV'!K171)</f>
        <v/>
      </c>
      <c r="C170" t="str">
        <f t="shared" si="25"/>
        <v/>
      </c>
      <c r="D170" t="str">
        <f t="shared" si="26"/>
        <v/>
      </c>
      <c r="E170" s="30" t="str">
        <f>IF('DADOS CSV'!L171="","",'DADOS CSV'!L171)</f>
        <v/>
      </c>
      <c r="F170" t="str">
        <f t="shared" si="27"/>
        <v/>
      </c>
      <c r="G170" t="str">
        <f t="shared" si="28"/>
        <v/>
      </c>
      <c r="CT170" t="str">
        <f t="shared" si="29"/>
        <v/>
      </c>
      <c r="CU170" s="33" t="str">
        <f>IFERROR(VLOOKUP(Procv!Q170,Procv!$C$1:$D$21,2,0),"")</f>
        <v/>
      </c>
    </row>
    <row r="171" spans="1:99" x14ac:dyDescent="0.25">
      <c r="A171" t="str">
        <f>IF('DADOS CSV'!J172="","",'DADOS CSV'!J172)</f>
        <v/>
      </c>
      <c r="B171" s="30" t="str">
        <f>IF('DADOS CSV'!K172="","",'DADOS CSV'!K172)</f>
        <v/>
      </c>
      <c r="C171" t="str">
        <f t="shared" si="25"/>
        <v/>
      </c>
      <c r="D171" t="str">
        <f t="shared" si="26"/>
        <v/>
      </c>
      <c r="E171" s="30" t="str">
        <f>IF('DADOS CSV'!L172="","",'DADOS CSV'!L172)</f>
        <v/>
      </c>
      <c r="F171" t="str">
        <f t="shared" si="27"/>
        <v/>
      </c>
      <c r="G171" t="str">
        <f t="shared" si="28"/>
        <v/>
      </c>
      <c r="CT171" t="str">
        <f t="shared" si="29"/>
        <v/>
      </c>
      <c r="CU171" s="33" t="str">
        <f>IFERROR(VLOOKUP(Procv!Q171,Procv!$C$1:$D$21,2,0),"")</f>
        <v/>
      </c>
    </row>
    <row r="172" spans="1:99" x14ac:dyDescent="0.25">
      <c r="A172" t="str">
        <f>IF('DADOS CSV'!J173="","",'DADOS CSV'!J173)</f>
        <v/>
      </c>
      <c r="B172" s="30" t="str">
        <f>IF('DADOS CSV'!K173="","",'DADOS CSV'!K173)</f>
        <v/>
      </c>
      <c r="C172" t="str">
        <f t="shared" si="25"/>
        <v/>
      </c>
      <c r="D172" t="str">
        <f t="shared" si="26"/>
        <v/>
      </c>
      <c r="E172" s="30" t="str">
        <f>IF('DADOS CSV'!L173="","",'DADOS CSV'!L173)</f>
        <v/>
      </c>
      <c r="F172" t="str">
        <f t="shared" si="27"/>
        <v/>
      </c>
      <c r="G172" t="str">
        <f t="shared" si="28"/>
        <v/>
      </c>
      <c r="CT172" t="str">
        <f t="shared" si="29"/>
        <v/>
      </c>
      <c r="CU172" s="33" t="str">
        <f>IFERROR(VLOOKUP(Procv!Q172,Procv!$C$1:$D$21,2,0),"")</f>
        <v/>
      </c>
    </row>
    <row r="173" spans="1:99" x14ac:dyDescent="0.25">
      <c r="A173" t="str">
        <f>IF('DADOS CSV'!J174="","",'DADOS CSV'!J174)</f>
        <v/>
      </c>
      <c r="B173" s="30" t="str">
        <f>IF('DADOS CSV'!K174="","",'DADOS CSV'!K174)</f>
        <v/>
      </c>
      <c r="C173" t="str">
        <f t="shared" si="25"/>
        <v/>
      </c>
      <c r="D173" t="str">
        <f t="shared" si="26"/>
        <v/>
      </c>
      <c r="E173" s="30" t="str">
        <f>IF('DADOS CSV'!L174="","",'DADOS CSV'!L174)</f>
        <v/>
      </c>
      <c r="F173" t="str">
        <f t="shared" si="27"/>
        <v/>
      </c>
      <c r="G173" t="str">
        <f t="shared" si="28"/>
        <v/>
      </c>
      <c r="CT173" t="str">
        <f t="shared" si="29"/>
        <v/>
      </c>
      <c r="CU173" s="33" t="str">
        <f>IFERROR(VLOOKUP(Procv!Q173,Procv!$C$1:$D$21,2,0),"")</f>
        <v/>
      </c>
    </row>
    <row r="174" spans="1:99" x14ac:dyDescent="0.25">
      <c r="A174" t="str">
        <f>IF('DADOS CSV'!J175="","",'DADOS CSV'!J175)</f>
        <v/>
      </c>
      <c r="B174" s="30" t="str">
        <f>IF('DADOS CSV'!K175="","",'DADOS CSV'!K175)</f>
        <v/>
      </c>
      <c r="C174" t="str">
        <f t="shared" si="25"/>
        <v/>
      </c>
      <c r="D174" t="str">
        <f t="shared" si="26"/>
        <v/>
      </c>
      <c r="E174" s="30" t="str">
        <f>IF('DADOS CSV'!L175="","",'DADOS CSV'!L175)</f>
        <v/>
      </c>
      <c r="F174" t="str">
        <f t="shared" si="27"/>
        <v/>
      </c>
      <c r="G174" t="str">
        <f t="shared" si="28"/>
        <v/>
      </c>
      <c r="CT174" t="str">
        <f t="shared" si="29"/>
        <v/>
      </c>
      <c r="CU174" s="33" t="str">
        <f>IFERROR(VLOOKUP(Procv!Q174,Procv!$C$1:$D$21,2,0),"")</f>
        <v/>
      </c>
    </row>
    <row r="175" spans="1:99" x14ac:dyDescent="0.25">
      <c r="A175" t="str">
        <f>IF('DADOS CSV'!J176="","",'DADOS CSV'!J176)</f>
        <v/>
      </c>
      <c r="B175" s="30" t="str">
        <f>IF('DADOS CSV'!K176="","",'DADOS CSV'!K176)</f>
        <v/>
      </c>
      <c r="C175" t="str">
        <f t="shared" si="25"/>
        <v/>
      </c>
      <c r="D175" t="str">
        <f t="shared" si="26"/>
        <v/>
      </c>
      <c r="E175" s="30" t="str">
        <f>IF('DADOS CSV'!L176="","",'DADOS CSV'!L176)</f>
        <v/>
      </c>
      <c r="F175" t="str">
        <f t="shared" si="27"/>
        <v/>
      </c>
      <c r="G175" t="str">
        <f t="shared" si="28"/>
        <v/>
      </c>
      <c r="CT175" t="str">
        <f t="shared" si="29"/>
        <v/>
      </c>
      <c r="CU175" s="33" t="str">
        <f>IFERROR(VLOOKUP(Procv!Q175,Procv!$C$1:$D$21,2,0),"")</f>
        <v/>
      </c>
    </row>
    <row r="176" spans="1:99" x14ac:dyDescent="0.25">
      <c r="A176" t="str">
        <f>IF('DADOS CSV'!J177="","",'DADOS CSV'!J177)</f>
        <v/>
      </c>
      <c r="B176" s="30" t="str">
        <f>IF('DADOS CSV'!K177="","",'DADOS CSV'!K177)</f>
        <v/>
      </c>
      <c r="C176" t="str">
        <f t="shared" si="25"/>
        <v/>
      </c>
      <c r="D176" t="str">
        <f t="shared" si="26"/>
        <v/>
      </c>
      <c r="E176" s="30" t="str">
        <f>IF('DADOS CSV'!L177="","",'DADOS CSV'!L177)</f>
        <v/>
      </c>
      <c r="F176" t="str">
        <f t="shared" si="27"/>
        <v/>
      </c>
      <c r="G176" t="str">
        <f t="shared" si="28"/>
        <v/>
      </c>
      <c r="CT176" t="str">
        <f t="shared" si="29"/>
        <v/>
      </c>
      <c r="CU176" s="33" t="str">
        <f>IFERROR(VLOOKUP(Procv!Q176,Procv!$C$1:$D$21,2,0),"")</f>
        <v/>
      </c>
    </row>
    <row r="177" spans="1:99" x14ac:dyDescent="0.25">
      <c r="A177" t="str">
        <f>IF('DADOS CSV'!J178="","",'DADOS CSV'!J178)</f>
        <v/>
      </c>
      <c r="B177" s="30" t="str">
        <f>IF('DADOS CSV'!K178="","",'DADOS CSV'!K178)</f>
        <v/>
      </c>
      <c r="C177" t="str">
        <f t="shared" si="25"/>
        <v/>
      </c>
      <c r="D177" t="str">
        <f t="shared" si="26"/>
        <v/>
      </c>
      <c r="E177" s="30" t="str">
        <f>IF('DADOS CSV'!L178="","",'DADOS CSV'!L178)</f>
        <v/>
      </c>
      <c r="F177" t="str">
        <f t="shared" si="27"/>
        <v/>
      </c>
      <c r="G177" t="str">
        <f t="shared" si="28"/>
        <v/>
      </c>
      <c r="CT177" t="str">
        <f t="shared" si="29"/>
        <v/>
      </c>
      <c r="CU177" s="33" t="str">
        <f>IFERROR(VLOOKUP(Procv!Q177,Procv!$C$1:$D$21,2,0),"")</f>
        <v/>
      </c>
    </row>
    <row r="178" spans="1:99" x14ac:dyDescent="0.25">
      <c r="A178" t="str">
        <f>IF('DADOS CSV'!J179="","",'DADOS CSV'!J179)</f>
        <v/>
      </c>
      <c r="B178" s="30" t="str">
        <f>IF('DADOS CSV'!K179="","",'DADOS CSV'!K179)</f>
        <v/>
      </c>
      <c r="C178" t="str">
        <f t="shared" si="25"/>
        <v/>
      </c>
      <c r="D178" t="str">
        <f t="shared" si="26"/>
        <v/>
      </c>
      <c r="E178" s="30" t="str">
        <f>IF('DADOS CSV'!L179="","",'DADOS CSV'!L179)</f>
        <v/>
      </c>
      <c r="F178" t="str">
        <f t="shared" si="27"/>
        <v/>
      </c>
      <c r="G178" t="str">
        <f t="shared" si="28"/>
        <v/>
      </c>
      <c r="CT178" t="str">
        <f t="shared" si="29"/>
        <v/>
      </c>
      <c r="CU178" s="33" t="str">
        <f>IFERROR(VLOOKUP(Procv!Q178,Procv!$C$1:$D$21,2,0),"")</f>
        <v/>
      </c>
    </row>
    <row r="179" spans="1:99" x14ac:dyDescent="0.25">
      <c r="A179" t="str">
        <f>IF('DADOS CSV'!J180="","",'DADOS CSV'!J180)</f>
        <v/>
      </c>
      <c r="B179" s="30" t="str">
        <f>IF('DADOS CSV'!K180="","",'DADOS CSV'!K180)</f>
        <v/>
      </c>
      <c r="C179" t="str">
        <f t="shared" si="25"/>
        <v/>
      </c>
      <c r="D179" t="str">
        <f t="shared" si="26"/>
        <v/>
      </c>
      <c r="E179" s="30" t="str">
        <f>IF('DADOS CSV'!L180="","",'DADOS CSV'!L180)</f>
        <v/>
      </c>
      <c r="F179" t="str">
        <f t="shared" si="27"/>
        <v/>
      </c>
      <c r="G179" t="str">
        <f t="shared" si="28"/>
        <v/>
      </c>
      <c r="CT179" t="str">
        <f t="shared" si="29"/>
        <v/>
      </c>
      <c r="CU179" s="33" t="str">
        <f>IFERROR(VLOOKUP(Procv!Q179,Procv!$C$1:$D$21,2,0),"")</f>
        <v/>
      </c>
    </row>
    <row r="180" spans="1:99" x14ac:dyDescent="0.25">
      <c r="A180" t="str">
        <f>IF('DADOS CSV'!J181="","",'DADOS CSV'!J181)</f>
        <v/>
      </c>
      <c r="B180" s="30" t="str">
        <f>IF('DADOS CSV'!K181="","",'DADOS CSV'!K181)</f>
        <v/>
      </c>
      <c r="C180" t="str">
        <f t="shared" si="25"/>
        <v/>
      </c>
      <c r="D180" t="str">
        <f t="shared" si="26"/>
        <v/>
      </c>
      <c r="E180" s="30" t="str">
        <f>IF('DADOS CSV'!L181="","",'DADOS CSV'!L181)</f>
        <v/>
      </c>
      <c r="F180" t="str">
        <f t="shared" si="27"/>
        <v/>
      </c>
      <c r="G180" t="str">
        <f t="shared" si="28"/>
        <v/>
      </c>
      <c r="CT180" t="str">
        <f t="shared" si="29"/>
        <v/>
      </c>
      <c r="CU180" s="33" t="str">
        <f>IFERROR(VLOOKUP(Procv!Q180,Procv!$C$1:$D$21,2,0),"")</f>
        <v/>
      </c>
    </row>
    <row r="181" spans="1:99" x14ac:dyDescent="0.25">
      <c r="A181" t="str">
        <f>IF('DADOS CSV'!J182="","",'DADOS CSV'!J182)</f>
        <v/>
      </c>
      <c r="B181" s="30" t="str">
        <f>IF('DADOS CSV'!K182="","",'DADOS CSV'!K182)</f>
        <v/>
      </c>
      <c r="C181" t="str">
        <f t="shared" si="25"/>
        <v/>
      </c>
      <c r="D181" t="str">
        <f t="shared" si="26"/>
        <v/>
      </c>
      <c r="E181" s="30" t="str">
        <f>IF('DADOS CSV'!L182="","",'DADOS CSV'!L182)</f>
        <v/>
      </c>
      <c r="F181" t="str">
        <f t="shared" si="27"/>
        <v/>
      </c>
      <c r="G181" t="str">
        <f t="shared" si="28"/>
        <v/>
      </c>
      <c r="CT181" t="str">
        <f t="shared" si="29"/>
        <v/>
      </c>
      <c r="CU181" s="33" t="str">
        <f>IFERROR(VLOOKUP(Procv!Q181,Procv!$C$1:$D$21,2,0),"")</f>
        <v/>
      </c>
    </row>
    <row r="182" spans="1:99" x14ac:dyDescent="0.25">
      <c r="A182" t="str">
        <f>IF('DADOS CSV'!J183="","",'DADOS CSV'!J183)</f>
        <v/>
      </c>
      <c r="B182" s="30" t="str">
        <f>IF('DADOS CSV'!K183="","",'DADOS CSV'!K183)</f>
        <v/>
      </c>
      <c r="C182" t="str">
        <f t="shared" si="25"/>
        <v/>
      </c>
      <c r="D182" t="str">
        <f t="shared" si="26"/>
        <v/>
      </c>
      <c r="E182" s="30" t="str">
        <f>IF('DADOS CSV'!L183="","",'DADOS CSV'!L183)</f>
        <v/>
      </c>
      <c r="F182" t="str">
        <f t="shared" si="27"/>
        <v/>
      </c>
      <c r="G182" t="str">
        <f t="shared" si="28"/>
        <v/>
      </c>
      <c r="CT182" t="str">
        <f t="shared" si="29"/>
        <v/>
      </c>
      <c r="CU182" s="33" t="str">
        <f>IFERROR(VLOOKUP(Procv!Q182,Procv!$C$1:$D$21,2,0),"")</f>
        <v/>
      </c>
    </row>
    <row r="183" spans="1:99" x14ac:dyDescent="0.25">
      <c r="A183" t="str">
        <f>IF('DADOS CSV'!J184="","",'DADOS CSV'!J184)</f>
        <v/>
      </c>
      <c r="B183" s="30" t="str">
        <f>IF('DADOS CSV'!K184="","",'DADOS CSV'!K184)</f>
        <v/>
      </c>
      <c r="C183" t="str">
        <f t="shared" si="25"/>
        <v/>
      </c>
      <c r="D183" t="str">
        <f t="shared" si="26"/>
        <v/>
      </c>
      <c r="E183" s="30" t="str">
        <f>IF('DADOS CSV'!L184="","",'DADOS CSV'!L184)</f>
        <v/>
      </c>
      <c r="F183" t="str">
        <f t="shared" si="27"/>
        <v/>
      </c>
      <c r="G183" t="str">
        <f t="shared" si="28"/>
        <v/>
      </c>
      <c r="CT183" t="str">
        <f t="shared" si="29"/>
        <v/>
      </c>
      <c r="CU183" s="33" t="str">
        <f>IFERROR(VLOOKUP(Procv!Q183,Procv!$C$1:$D$21,2,0),"")</f>
        <v/>
      </c>
    </row>
    <row r="184" spans="1:99" x14ac:dyDescent="0.25">
      <c r="A184" t="str">
        <f>IF('DADOS CSV'!J185="","",'DADOS CSV'!J185)</f>
        <v/>
      </c>
      <c r="B184" s="30" t="str">
        <f>IF('DADOS CSV'!K185="","",'DADOS CSV'!K185)</f>
        <v/>
      </c>
      <c r="C184" t="str">
        <f t="shared" si="25"/>
        <v/>
      </c>
      <c r="D184" t="str">
        <f t="shared" si="26"/>
        <v/>
      </c>
      <c r="E184" s="30" t="str">
        <f>IF('DADOS CSV'!L185="","",'DADOS CSV'!L185)</f>
        <v/>
      </c>
      <c r="F184" t="str">
        <f t="shared" si="27"/>
        <v/>
      </c>
      <c r="G184" t="str">
        <f t="shared" si="28"/>
        <v/>
      </c>
      <c r="CT184" t="str">
        <f t="shared" si="29"/>
        <v/>
      </c>
      <c r="CU184" s="33" t="str">
        <f>IFERROR(VLOOKUP(Procv!Q184,Procv!$C$1:$D$21,2,0),"")</f>
        <v/>
      </c>
    </row>
    <row r="185" spans="1:99" x14ac:dyDescent="0.25">
      <c r="A185" t="str">
        <f>IF('DADOS CSV'!J186="","",'DADOS CSV'!J186)</f>
        <v/>
      </c>
      <c r="B185" s="30" t="str">
        <f>IF('DADOS CSV'!K186="","",'DADOS CSV'!K186)</f>
        <v/>
      </c>
      <c r="C185" t="str">
        <f t="shared" si="25"/>
        <v/>
      </c>
      <c r="D185" t="str">
        <f t="shared" si="26"/>
        <v/>
      </c>
      <c r="E185" s="30" t="str">
        <f>IF('DADOS CSV'!L186="","",'DADOS CSV'!L186)</f>
        <v/>
      </c>
      <c r="F185" t="str">
        <f t="shared" si="27"/>
        <v/>
      </c>
      <c r="G185" t="str">
        <f t="shared" si="28"/>
        <v/>
      </c>
      <c r="CT185" t="str">
        <f t="shared" si="29"/>
        <v/>
      </c>
      <c r="CU185" s="33" t="str">
        <f>IFERROR(VLOOKUP(Procv!Q185,Procv!$C$1:$D$21,2,0),"")</f>
        <v/>
      </c>
    </row>
    <row r="186" spans="1:99" x14ac:dyDescent="0.25">
      <c r="A186" t="str">
        <f>IF('DADOS CSV'!J187="","",'DADOS CSV'!J187)</f>
        <v/>
      </c>
      <c r="B186" s="30" t="str">
        <f>IF('DADOS CSV'!K187="","",'DADOS CSV'!K187)</f>
        <v/>
      </c>
      <c r="C186" t="str">
        <f t="shared" si="25"/>
        <v/>
      </c>
      <c r="D186" t="str">
        <f t="shared" si="26"/>
        <v/>
      </c>
      <c r="E186" s="30" t="str">
        <f>IF('DADOS CSV'!L187="","",'DADOS CSV'!L187)</f>
        <v/>
      </c>
      <c r="F186" t="str">
        <f t="shared" si="27"/>
        <v/>
      </c>
      <c r="G186" t="str">
        <f t="shared" si="28"/>
        <v/>
      </c>
      <c r="CT186" t="str">
        <f t="shared" si="29"/>
        <v/>
      </c>
      <c r="CU186" s="33" t="str">
        <f>IFERROR(VLOOKUP(Procv!Q186,Procv!$C$1:$D$21,2,0),"")</f>
        <v/>
      </c>
    </row>
    <row r="187" spans="1:99" x14ac:dyDescent="0.25">
      <c r="A187" t="str">
        <f>IF('DADOS CSV'!J188="","",'DADOS CSV'!J188)</f>
        <v/>
      </c>
      <c r="B187" s="30" t="str">
        <f>IF('DADOS CSV'!K188="","",'DADOS CSV'!K188)</f>
        <v/>
      </c>
      <c r="C187" t="str">
        <f t="shared" si="25"/>
        <v/>
      </c>
      <c r="D187" t="str">
        <f t="shared" si="26"/>
        <v/>
      </c>
      <c r="E187" s="30" t="str">
        <f>IF('DADOS CSV'!L188="","",'DADOS CSV'!L188)</f>
        <v/>
      </c>
      <c r="F187" t="str">
        <f t="shared" si="27"/>
        <v/>
      </c>
      <c r="G187" t="str">
        <f t="shared" si="28"/>
        <v/>
      </c>
      <c r="CT187" t="str">
        <f t="shared" si="29"/>
        <v/>
      </c>
      <c r="CU187" s="33" t="str">
        <f>IFERROR(VLOOKUP(Procv!Q187,Procv!$C$1:$D$21,2,0),"")</f>
        <v/>
      </c>
    </row>
    <row r="188" spans="1:99" x14ac:dyDescent="0.25">
      <c r="A188" t="str">
        <f>IF('DADOS CSV'!J189="","",'DADOS CSV'!J189)</f>
        <v/>
      </c>
      <c r="B188" s="30" t="str">
        <f>IF('DADOS CSV'!K189="","",'DADOS CSV'!K189)</f>
        <v/>
      </c>
      <c r="C188" t="str">
        <f t="shared" si="25"/>
        <v/>
      </c>
      <c r="D188" t="str">
        <f t="shared" si="26"/>
        <v/>
      </c>
      <c r="E188" s="30" t="str">
        <f>IF('DADOS CSV'!L189="","",'DADOS CSV'!L189)</f>
        <v/>
      </c>
      <c r="F188" t="str">
        <f t="shared" si="27"/>
        <v/>
      </c>
      <c r="G188" t="str">
        <f t="shared" si="28"/>
        <v/>
      </c>
      <c r="CT188" t="str">
        <f t="shared" si="29"/>
        <v/>
      </c>
      <c r="CU188" s="33" t="str">
        <f>IFERROR(VLOOKUP(Procv!Q188,Procv!$C$1:$D$21,2,0),"")</f>
        <v/>
      </c>
    </row>
    <row r="189" spans="1:99" x14ac:dyDescent="0.25">
      <c r="A189" t="str">
        <f>IF('DADOS CSV'!J190="","",'DADOS CSV'!J190)</f>
        <v/>
      </c>
      <c r="B189" s="30" t="str">
        <f>IF('DADOS CSV'!K190="","",'DADOS CSV'!K190)</f>
        <v/>
      </c>
      <c r="C189" t="str">
        <f t="shared" si="25"/>
        <v/>
      </c>
      <c r="D189" t="str">
        <f t="shared" si="26"/>
        <v/>
      </c>
      <c r="E189" s="30" t="str">
        <f>IF('DADOS CSV'!L190="","",'DADOS CSV'!L190)</f>
        <v/>
      </c>
      <c r="F189" t="str">
        <f t="shared" si="27"/>
        <v/>
      </c>
      <c r="G189" t="str">
        <f t="shared" si="28"/>
        <v/>
      </c>
      <c r="CT189" t="str">
        <f t="shared" si="29"/>
        <v/>
      </c>
      <c r="CU189" s="33" t="str">
        <f>IFERROR(VLOOKUP(Procv!Q189,Procv!$C$1:$D$21,2,0),"")</f>
        <v/>
      </c>
    </row>
    <row r="190" spans="1:99" x14ac:dyDescent="0.25">
      <c r="A190" t="str">
        <f>IF('DADOS CSV'!J191="","",'DADOS CSV'!J191)</f>
        <v/>
      </c>
      <c r="B190" s="30" t="str">
        <f>IF('DADOS CSV'!K191="","",'DADOS CSV'!K191)</f>
        <v/>
      </c>
      <c r="C190" t="str">
        <f t="shared" si="25"/>
        <v/>
      </c>
      <c r="D190" t="str">
        <f t="shared" si="26"/>
        <v/>
      </c>
      <c r="E190" s="30" t="str">
        <f>IF('DADOS CSV'!L191="","",'DADOS CSV'!L191)</f>
        <v/>
      </c>
      <c r="F190" t="str">
        <f t="shared" si="27"/>
        <v/>
      </c>
      <c r="G190" t="str">
        <f t="shared" si="28"/>
        <v/>
      </c>
      <c r="CT190" t="str">
        <f t="shared" si="29"/>
        <v/>
      </c>
      <c r="CU190" s="33" t="str">
        <f>IFERROR(VLOOKUP(Procv!Q190,Procv!$C$1:$D$21,2,0),"")</f>
        <v/>
      </c>
    </row>
    <row r="191" spans="1:99" x14ac:dyDescent="0.25">
      <c r="A191" t="str">
        <f>IF('DADOS CSV'!J192="","",'DADOS CSV'!J192)</f>
        <v/>
      </c>
      <c r="B191" s="30" t="str">
        <f>IF('DADOS CSV'!K192="","",'DADOS CSV'!K192)</f>
        <v/>
      </c>
      <c r="C191" t="str">
        <f t="shared" si="25"/>
        <v/>
      </c>
      <c r="D191" t="str">
        <f t="shared" si="26"/>
        <v/>
      </c>
      <c r="E191" s="30" t="str">
        <f>IF('DADOS CSV'!L192="","",'DADOS CSV'!L192)</f>
        <v/>
      </c>
      <c r="F191" t="str">
        <f t="shared" si="27"/>
        <v/>
      </c>
      <c r="G191" t="str">
        <f t="shared" si="28"/>
        <v/>
      </c>
      <c r="CT191" t="str">
        <f t="shared" si="29"/>
        <v/>
      </c>
      <c r="CU191" s="33" t="str">
        <f>IFERROR(VLOOKUP(Procv!Q191,Procv!$C$1:$D$21,2,0),"")</f>
        <v/>
      </c>
    </row>
    <row r="192" spans="1:99" x14ac:dyDescent="0.25">
      <c r="A192" t="str">
        <f>IF('DADOS CSV'!J193="","",'DADOS CSV'!J193)</f>
        <v/>
      </c>
      <c r="B192" s="30" t="str">
        <f>IF('DADOS CSV'!K193="","",'DADOS CSV'!K193)</f>
        <v/>
      </c>
      <c r="C192" t="str">
        <f t="shared" si="25"/>
        <v/>
      </c>
      <c r="D192" t="str">
        <f t="shared" si="26"/>
        <v/>
      </c>
      <c r="E192" s="30" t="str">
        <f>IF('DADOS CSV'!L193="","",'DADOS CSV'!L193)</f>
        <v/>
      </c>
      <c r="F192" t="str">
        <f t="shared" si="27"/>
        <v/>
      </c>
      <c r="G192" t="str">
        <f t="shared" si="28"/>
        <v/>
      </c>
      <c r="CT192" t="str">
        <f t="shared" si="29"/>
        <v/>
      </c>
      <c r="CU192" s="33" t="str">
        <f>IFERROR(VLOOKUP(Procv!Q192,Procv!$C$1:$D$21,2,0),"")</f>
        <v/>
      </c>
    </row>
    <row r="193" spans="1:99" x14ac:dyDescent="0.25">
      <c r="A193" t="str">
        <f>IF('DADOS CSV'!J194="","",'DADOS CSV'!J194)</f>
        <v/>
      </c>
      <c r="B193" s="30" t="str">
        <f>IF('DADOS CSV'!K194="","",'DADOS CSV'!K194)</f>
        <v/>
      </c>
      <c r="C193" t="str">
        <f t="shared" si="25"/>
        <v/>
      </c>
      <c r="D193" t="str">
        <f t="shared" si="26"/>
        <v/>
      </c>
      <c r="E193" s="30" t="str">
        <f>IF('DADOS CSV'!L194="","",'DADOS CSV'!L194)</f>
        <v/>
      </c>
      <c r="F193" t="str">
        <f t="shared" si="27"/>
        <v/>
      </c>
      <c r="G193" t="str">
        <f t="shared" si="28"/>
        <v/>
      </c>
      <c r="CT193" t="str">
        <f t="shared" si="29"/>
        <v/>
      </c>
      <c r="CU193" s="33" t="str">
        <f>IFERROR(VLOOKUP(Procv!Q193,Procv!$C$1:$D$21,2,0),"")</f>
        <v/>
      </c>
    </row>
    <row r="194" spans="1:99" x14ac:dyDescent="0.25">
      <c r="A194" t="str">
        <f>IF('DADOS CSV'!J195="","",'DADOS CSV'!J195)</f>
        <v/>
      </c>
      <c r="B194" s="30" t="str">
        <f>IF('DADOS CSV'!K195="","",'DADOS CSV'!K195)</f>
        <v/>
      </c>
      <c r="C194" t="str">
        <f t="shared" si="25"/>
        <v/>
      </c>
      <c r="D194" t="str">
        <f t="shared" si="26"/>
        <v/>
      </c>
      <c r="E194" s="30" t="str">
        <f>IF('DADOS CSV'!L195="","",'DADOS CSV'!L195)</f>
        <v/>
      </c>
      <c r="F194" t="str">
        <f t="shared" si="27"/>
        <v/>
      </c>
      <c r="G194" t="str">
        <f t="shared" si="28"/>
        <v/>
      </c>
      <c r="CT194" t="str">
        <f t="shared" si="29"/>
        <v/>
      </c>
      <c r="CU194" s="33" t="str">
        <f>IFERROR(VLOOKUP(Procv!Q194,Procv!$C$1:$D$21,2,0),"")</f>
        <v/>
      </c>
    </row>
    <row r="195" spans="1:99" x14ac:dyDescent="0.25">
      <c r="A195" t="str">
        <f>IF('DADOS CSV'!J196="","",'DADOS CSV'!J196)</f>
        <v/>
      </c>
      <c r="B195" s="30" t="str">
        <f>IF('DADOS CSV'!K196="","",'DADOS CSV'!K196)</f>
        <v/>
      </c>
      <c r="C195" t="str">
        <f t="shared" si="25"/>
        <v/>
      </c>
      <c r="D195" t="str">
        <f t="shared" si="26"/>
        <v/>
      </c>
      <c r="E195" s="30" t="str">
        <f>IF('DADOS CSV'!L196="","",'DADOS CSV'!L196)</f>
        <v/>
      </c>
      <c r="F195" t="str">
        <f t="shared" si="27"/>
        <v/>
      </c>
      <c r="G195" t="str">
        <f t="shared" si="28"/>
        <v/>
      </c>
      <c r="CT195" t="str">
        <f t="shared" si="29"/>
        <v/>
      </c>
      <c r="CU195" s="33" t="str">
        <f>IFERROR(VLOOKUP(Procv!Q195,Procv!$C$1:$D$21,2,0),"")</f>
        <v/>
      </c>
    </row>
    <row r="196" spans="1:99" x14ac:dyDescent="0.25">
      <c r="A196" t="str">
        <f>IF('DADOS CSV'!J197="","",'DADOS CSV'!J197)</f>
        <v/>
      </c>
      <c r="B196" s="30" t="str">
        <f>IF('DADOS CSV'!K197="","",'DADOS CSV'!K197)</f>
        <v/>
      </c>
      <c r="C196" t="str">
        <f t="shared" si="25"/>
        <v/>
      </c>
      <c r="D196" t="str">
        <f t="shared" si="26"/>
        <v/>
      </c>
      <c r="E196" s="30" t="str">
        <f>IF('DADOS CSV'!L197="","",'DADOS CSV'!L197)</f>
        <v/>
      </c>
      <c r="F196" t="str">
        <f t="shared" si="27"/>
        <v/>
      </c>
      <c r="G196" t="str">
        <f t="shared" si="28"/>
        <v/>
      </c>
      <c r="CT196" t="str">
        <f t="shared" si="29"/>
        <v/>
      </c>
      <c r="CU196" s="33" t="str">
        <f>IFERROR(VLOOKUP(Procv!Q196,Procv!$C$1:$D$21,2,0),"")</f>
        <v/>
      </c>
    </row>
    <row r="197" spans="1:99" x14ac:dyDescent="0.25">
      <c r="A197" t="str">
        <f>IF('DADOS CSV'!J198="","",'DADOS CSV'!J198)</f>
        <v/>
      </c>
      <c r="B197" s="30" t="str">
        <f>IF('DADOS CSV'!K198="","",'DADOS CSV'!K198)</f>
        <v/>
      </c>
      <c r="C197" t="str">
        <f t="shared" si="25"/>
        <v/>
      </c>
      <c r="D197" t="str">
        <f t="shared" si="26"/>
        <v/>
      </c>
      <c r="E197" s="30" t="str">
        <f>IF('DADOS CSV'!L198="","",'DADOS CSV'!L198)</f>
        <v/>
      </c>
      <c r="F197" t="str">
        <f t="shared" si="27"/>
        <v/>
      </c>
      <c r="G197" t="str">
        <f t="shared" si="28"/>
        <v/>
      </c>
      <c r="CT197" t="str">
        <f t="shared" si="29"/>
        <v/>
      </c>
      <c r="CU197" s="33" t="str">
        <f>IFERROR(VLOOKUP(Procv!Q197,Procv!$C$1:$D$21,2,0),"")</f>
        <v/>
      </c>
    </row>
    <row r="198" spans="1:99" x14ac:dyDescent="0.25">
      <c r="A198" t="str">
        <f>IF('DADOS CSV'!J199="","",'DADOS CSV'!J199)</f>
        <v/>
      </c>
      <c r="B198" s="30" t="str">
        <f>IF('DADOS CSV'!K199="","",'DADOS CSV'!K199)</f>
        <v/>
      </c>
      <c r="C198" t="str">
        <f t="shared" si="25"/>
        <v/>
      </c>
      <c r="D198" t="str">
        <f t="shared" si="26"/>
        <v/>
      </c>
      <c r="E198" s="30" t="str">
        <f>IF('DADOS CSV'!L199="","",'DADOS CSV'!L199)</f>
        <v/>
      </c>
      <c r="F198" t="str">
        <f t="shared" si="27"/>
        <v/>
      </c>
      <c r="G198" t="str">
        <f t="shared" si="28"/>
        <v/>
      </c>
      <c r="CT198" t="str">
        <f t="shared" si="29"/>
        <v/>
      </c>
      <c r="CU198" s="33" t="str">
        <f>IFERROR(VLOOKUP(Procv!Q198,Procv!$C$1:$D$21,2,0),"")</f>
        <v/>
      </c>
    </row>
    <row r="199" spans="1:99" x14ac:dyDescent="0.25">
      <c r="A199" t="str">
        <f>IF('DADOS CSV'!J200="","",'DADOS CSV'!J200)</f>
        <v/>
      </c>
      <c r="B199" s="30" t="str">
        <f>IF('DADOS CSV'!K200="","",'DADOS CSV'!K200)</f>
        <v/>
      </c>
      <c r="C199" t="str">
        <f t="shared" si="25"/>
        <v/>
      </c>
      <c r="D199" t="str">
        <f t="shared" si="26"/>
        <v/>
      </c>
      <c r="E199" s="30" t="str">
        <f>IF('DADOS CSV'!L200="","",'DADOS CSV'!L200)</f>
        <v/>
      </c>
      <c r="F199" t="str">
        <f t="shared" si="27"/>
        <v/>
      </c>
      <c r="G199" t="str">
        <f t="shared" si="28"/>
        <v/>
      </c>
      <c r="CT199" t="str">
        <f t="shared" si="29"/>
        <v/>
      </c>
      <c r="CU199" s="33" t="str">
        <f>IFERROR(VLOOKUP(Procv!Q199,Procv!$C$1:$D$21,2,0),"")</f>
        <v/>
      </c>
    </row>
  </sheetData>
  <conditionalFormatting sqref="B2:B199 E2:E199">
    <cfRule type="duplicateValues" dxfId="7" priority="40"/>
    <cfRule type="duplicateValues" dxfId="6" priority="4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B7BC-84B7-4154-8854-C45174AE75C8}">
  <dimension ref="A1:CU199"/>
  <sheetViews>
    <sheetView zoomScale="85" zoomScaleNormal="85" workbookViewId="0">
      <selection activeCell="F70" sqref="F70"/>
    </sheetView>
  </sheetViews>
  <sheetFormatPr defaultRowHeight="15" x14ac:dyDescent="0.25"/>
  <cols>
    <col min="2" max="2" width="15" style="30" bestFit="1" customWidth="1"/>
    <col min="5" max="5" width="16.28515625" style="30" bestFit="1" customWidth="1"/>
    <col min="8" max="97" width="0" hidden="1" customWidth="1"/>
    <col min="99" max="99" width="20.28515625" bestFit="1" customWidth="1"/>
    <col min="106" max="106" width="30" bestFit="1" customWidth="1"/>
    <col min="107" max="107" width="8" customWidth="1"/>
    <col min="108" max="108" width="30" bestFit="1" customWidth="1"/>
    <col min="110" max="110" width="9.28515625" customWidth="1"/>
  </cols>
  <sheetData>
    <row r="1" spans="1:99" x14ac:dyDescent="0.25">
      <c r="A1" t="s">
        <v>24</v>
      </c>
      <c r="B1" s="30" t="s">
        <v>25</v>
      </c>
      <c r="C1" t="s">
        <v>26</v>
      </c>
      <c r="D1" t="s">
        <v>27</v>
      </c>
      <c r="E1" s="30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  <c r="AM1" t="s">
        <v>62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69</v>
      </c>
      <c r="AU1" t="s">
        <v>70</v>
      </c>
      <c r="AV1" t="s">
        <v>71</v>
      </c>
      <c r="AW1" t="s">
        <v>72</v>
      </c>
      <c r="AX1" t="s">
        <v>73</v>
      </c>
      <c r="AY1" t="s">
        <v>74</v>
      </c>
      <c r="AZ1" t="s">
        <v>75</v>
      </c>
      <c r="BA1" t="s">
        <v>76</v>
      </c>
      <c r="BB1" t="s">
        <v>77</v>
      </c>
      <c r="BC1" t="s">
        <v>78</v>
      </c>
      <c r="BD1" t="s">
        <v>79</v>
      </c>
      <c r="BE1" t="s">
        <v>80</v>
      </c>
      <c r="BF1" t="s">
        <v>81</v>
      </c>
      <c r="BG1" t="s">
        <v>82</v>
      </c>
      <c r="BH1" t="s">
        <v>83</v>
      </c>
      <c r="BI1" t="s">
        <v>84</v>
      </c>
      <c r="BJ1" t="s">
        <v>85</v>
      </c>
      <c r="BK1" t="s">
        <v>86</v>
      </c>
      <c r="BL1" t="s">
        <v>87</v>
      </c>
      <c r="BM1" t="s">
        <v>88</v>
      </c>
      <c r="BN1" t="s">
        <v>89</v>
      </c>
      <c r="BO1" t="s">
        <v>90</v>
      </c>
      <c r="BP1" t="s">
        <v>91</v>
      </c>
      <c r="BQ1" t="s">
        <v>92</v>
      </c>
      <c r="BR1" t="s">
        <v>93</v>
      </c>
      <c r="BS1" t="s">
        <v>94</v>
      </c>
      <c r="BT1" t="s">
        <v>95</v>
      </c>
      <c r="BU1" t="s">
        <v>96</v>
      </c>
      <c r="BV1" t="s">
        <v>97</v>
      </c>
      <c r="BW1" t="s">
        <v>98</v>
      </c>
      <c r="BX1" t="s">
        <v>99</v>
      </c>
      <c r="BY1" t="s">
        <v>100</v>
      </c>
      <c r="BZ1" t="s">
        <v>101</v>
      </c>
      <c r="CA1" t="s">
        <v>102</v>
      </c>
      <c r="CB1" t="s">
        <v>103</v>
      </c>
      <c r="CC1" t="s">
        <v>104</v>
      </c>
      <c r="CD1" t="s">
        <v>105</v>
      </c>
      <c r="CE1" t="s">
        <v>106</v>
      </c>
      <c r="CF1" t="s">
        <v>107</v>
      </c>
      <c r="CG1" t="s">
        <v>108</v>
      </c>
      <c r="CH1" t="s">
        <v>109</v>
      </c>
      <c r="CI1" t="s">
        <v>110</v>
      </c>
      <c r="CJ1" t="s">
        <v>111</v>
      </c>
      <c r="CK1" t="s">
        <v>112</v>
      </c>
      <c r="CL1" t="s">
        <v>113</v>
      </c>
      <c r="CM1" t="s">
        <v>114</v>
      </c>
      <c r="CN1" t="s">
        <v>115</v>
      </c>
      <c r="CO1" t="s">
        <v>116</v>
      </c>
      <c r="CP1" t="s">
        <v>117</v>
      </c>
      <c r="CQ1" t="s">
        <v>118</v>
      </c>
      <c r="CR1" t="s">
        <v>119</v>
      </c>
      <c r="CS1" t="s">
        <v>120</v>
      </c>
      <c r="CT1" t="s">
        <v>121</v>
      </c>
      <c r="CU1" t="s">
        <v>136</v>
      </c>
    </row>
    <row r="2" spans="1:99" x14ac:dyDescent="0.25">
      <c r="A2" t="str">
        <f>IF('DADOS CSV'!J3="","",'DADOS CSV'!J3)</f>
        <v>.1</v>
      </c>
      <c r="B2" s="30" t="str">
        <f>IF('DADOS CSV'!N3="","",'DADOS CSV'!N3)</f>
        <v/>
      </c>
      <c r="C2">
        <v>10</v>
      </c>
      <c r="D2">
        <v>5</v>
      </c>
      <c r="E2" s="30" t="str">
        <f>IF('DADOS CSV'!O3="","",'DADOS CSV'!O3)</f>
        <v/>
      </c>
      <c r="F2">
        <v>15</v>
      </c>
      <c r="G2">
        <v>10</v>
      </c>
      <c r="CT2" t="s">
        <v>122</v>
      </c>
      <c r="CU2" s="33" t="str">
        <f>IFERROR(VLOOKUP(Procv!R2,Procv!$C$1:$D$21,2,0),"")</f>
        <v/>
      </c>
    </row>
    <row r="3" spans="1:99" x14ac:dyDescent="0.25">
      <c r="A3" t="str">
        <f>IF('DADOS CSV'!J4="","",'DADOS CSV'!J4)</f>
        <v/>
      </c>
      <c r="B3" s="30" t="str">
        <f>IF('DADOS CSV'!N4="","",'DADOS CSV'!N4)</f>
        <v/>
      </c>
      <c r="C3" t="str">
        <f t="shared" ref="C3:C34" si="0">IF(A3="","",$C$2)</f>
        <v/>
      </c>
      <c r="D3" t="str">
        <f t="shared" ref="D3:D34" si="1">IF(A3="","",$D$2)</f>
        <v/>
      </c>
      <c r="E3" s="30" t="str">
        <f>IF('DADOS CSV'!O4="","",'DADOS CSV'!O4)</f>
        <v/>
      </c>
      <c r="F3" t="str">
        <f t="shared" ref="F3:F34" si="2">IF(A3="","",$F$2)</f>
        <v/>
      </c>
      <c r="G3" t="str">
        <f t="shared" ref="G3:G34" si="3">IF(A3="","",$G$2)</f>
        <v/>
      </c>
      <c r="CT3" t="str">
        <f t="shared" ref="CT3:CT34" si="4">IF(A3="","",$CT$2)</f>
        <v/>
      </c>
      <c r="CU3" s="33" t="str">
        <f>IFERROR(VLOOKUP(Procv!R3,Procv!$C$1:$D$21,2,0),"")</f>
        <v/>
      </c>
    </row>
    <row r="4" spans="1:99" x14ac:dyDescent="0.25">
      <c r="A4" t="str">
        <f>IF('DADOS CSV'!J5="","",'DADOS CSV'!J5)</f>
        <v/>
      </c>
      <c r="B4" s="30" t="str">
        <f>IF('DADOS CSV'!N5="","",'DADOS CSV'!N5)</f>
        <v/>
      </c>
      <c r="C4" t="str">
        <f t="shared" si="0"/>
        <v/>
      </c>
      <c r="D4" t="str">
        <f t="shared" si="1"/>
        <v/>
      </c>
      <c r="E4" s="30" t="str">
        <f>IF('DADOS CSV'!O5="","",'DADOS CSV'!O5)</f>
        <v/>
      </c>
      <c r="F4" t="str">
        <f t="shared" si="2"/>
        <v/>
      </c>
      <c r="G4" t="str">
        <f t="shared" si="3"/>
        <v/>
      </c>
      <c r="CT4" t="str">
        <f t="shared" si="4"/>
        <v/>
      </c>
      <c r="CU4" s="33" t="str">
        <f>IFERROR(VLOOKUP(Procv!R4,Procv!$C$1:$D$21,2,0),"")</f>
        <v/>
      </c>
    </row>
    <row r="5" spans="1:99" x14ac:dyDescent="0.25">
      <c r="A5" t="str">
        <f>IF('DADOS CSV'!J6="","",'DADOS CSV'!J6)</f>
        <v/>
      </c>
      <c r="B5" s="30" t="str">
        <f>IF('DADOS CSV'!N6="","",'DADOS CSV'!N6)</f>
        <v/>
      </c>
      <c r="C5" t="str">
        <f t="shared" si="0"/>
        <v/>
      </c>
      <c r="D5" t="str">
        <f t="shared" si="1"/>
        <v/>
      </c>
      <c r="E5" s="30" t="str">
        <f>IF('DADOS CSV'!O6="","",'DADOS CSV'!O6)</f>
        <v/>
      </c>
      <c r="F5" t="str">
        <f t="shared" si="2"/>
        <v/>
      </c>
      <c r="G5" t="str">
        <f t="shared" si="3"/>
        <v/>
      </c>
      <c r="CT5" t="str">
        <f t="shared" si="4"/>
        <v/>
      </c>
      <c r="CU5" s="33" t="str">
        <f>IFERROR(VLOOKUP(Procv!R5,Procv!$C$1:$D$21,2,0),"")</f>
        <v/>
      </c>
    </row>
    <row r="6" spans="1:99" x14ac:dyDescent="0.25">
      <c r="A6" t="str">
        <f>IF('DADOS CSV'!J7="","",'DADOS CSV'!J7)</f>
        <v/>
      </c>
      <c r="B6" s="30" t="str">
        <f>IF('DADOS CSV'!N7="","",'DADOS CSV'!N7)</f>
        <v/>
      </c>
      <c r="C6" t="str">
        <f t="shared" si="0"/>
        <v/>
      </c>
      <c r="D6" t="str">
        <f t="shared" si="1"/>
        <v/>
      </c>
      <c r="E6" s="30" t="str">
        <f>IF('DADOS CSV'!O7="","",'DADOS CSV'!O7)</f>
        <v/>
      </c>
      <c r="F6" t="str">
        <f t="shared" si="2"/>
        <v/>
      </c>
      <c r="G6" t="str">
        <f t="shared" si="3"/>
        <v/>
      </c>
      <c r="CT6" t="str">
        <f t="shared" si="4"/>
        <v/>
      </c>
      <c r="CU6" s="33" t="str">
        <f>IFERROR(VLOOKUP(Procv!R6,Procv!$C$1:$D$21,2,0),"")</f>
        <v/>
      </c>
    </row>
    <row r="7" spans="1:99" x14ac:dyDescent="0.25">
      <c r="A7" t="str">
        <f>IF('DADOS CSV'!J8="","",'DADOS CSV'!J8)</f>
        <v/>
      </c>
      <c r="B7" s="30" t="str">
        <f>IF('DADOS CSV'!N8="","",'DADOS CSV'!N8)</f>
        <v/>
      </c>
      <c r="C7" t="str">
        <f t="shared" si="0"/>
        <v/>
      </c>
      <c r="D7" t="str">
        <f t="shared" si="1"/>
        <v/>
      </c>
      <c r="E7" s="30" t="str">
        <f>IF('DADOS CSV'!O8="","",'DADOS CSV'!O8)</f>
        <v/>
      </c>
      <c r="F7" t="str">
        <f t="shared" si="2"/>
        <v/>
      </c>
      <c r="G7" t="str">
        <f t="shared" si="3"/>
        <v/>
      </c>
      <c r="CT7" t="str">
        <f t="shared" si="4"/>
        <v/>
      </c>
      <c r="CU7" s="33" t="str">
        <f>IFERROR(VLOOKUP(Procv!R7,Procv!$C$1:$D$21,2,0),"")</f>
        <v/>
      </c>
    </row>
    <row r="8" spans="1:99" x14ac:dyDescent="0.25">
      <c r="A8" t="str">
        <f>IF('DADOS CSV'!J9="","",'DADOS CSV'!J9)</f>
        <v/>
      </c>
      <c r="B8" s="30" t="str">
        <f>IF('DADOS CSV'!N9="","",'DADOS CSV'!N9)</f>
        <v/>
      </c>
      <c r="C8" t="str">
        <f t="shared" si="0"/>
        <v/>
      </c>
      <c r="D8" t="str">
        <f t="shared" si="1"/>
        <v/>
      </c>
      <c r="E8" s="30" t="str">
        <f>IF('DADOS CSV'!O9="","",'DADOS CSV'!O9)</f>
        <v/>
      </c>
      <c r="F8" t="str">
        <f t="shared" si="2"/>
        <v/>
      </c>
      <c r="G8" t="str">
        <f t="shared" si="3"/>
        <v/>
      </c>
      <c r="CT8" t="str">
        <f t="shared" si="4"/>
        <v/>
      </c>
      <c r="CU8" s="33" t="str">
        <f>IFERROR(VLOOKUP(Procv!R8,Procv!$C$1:$D$21,2,0),"")</f>
        <v/>
      </c>
    </row>
    <row r="9" spans="1:99" x14ac:dyDescent="0.25">
      <c r="A9" t="str">
        <f>IF('DADOS CSV'!J10="","",'DADOS CSV'!J10)</f>
        <v/>
      </c>
      <c r="B9" s="30" t="str">
        <f>IF('DADOS CSV'!N10="","",'DADOS CSV'!N10)</f>
        <v/>
      </c>
      <c r="C9" t="str">
        <f t="shared" si="0"/>
        <v/>
      </c>
      <c r="D9" t="str">
        <f t="shared" si="1"/>
        <v/>
      </c>
      <c r="E9" s="30" t="str">
        <f>IF('DADOS CSV'!O10="","",'DADOS CSV'!O10)</f>
        <v/>
      </c>
      <c r="F9" t="str">
        <f t="shared" si="2"/>
        <v/>
      </c>
      <c r="G9" t="str">
        <f t="shared" si="3"/>
        <v/>
      </c>
      <c r="CT9" t="str">
        <f t="shared" si="4"/>
        <v/>
      </c>
      <c r="CU9" s="33" t="str">
        <f>IFERROR(VLOOKUP(Procv!R9,Procv!$C$1:$D$21,2,0),"")</f>
        <v/>
      </c>
    </row>
    <row r="10" spans="1:99" x14ac:dyDescent="0.25">
      <c r="A10" t="str">
        <f>IF('DADOS CSV'!J11="","",'DADOS CSV'!J11)</f>
        <v/>
      </c>
      <c r="B10" s="30" t="str">
        <f>IF('DADOS CSV'!N11="","",'DADOS CSV'!N11)</f>
        <v/>
      </c>
      <c r="C10" t="str">
        <f t="shared" si="0"/>
        <v/>
      </c>
      <c r="D10" t="str">
        <f t="shared" si="1"/>
        <v/>
      </c>
      <c r="E10" s="30" t="str">
        <f>IF('DADOS CSV'!O11="","",'DADOS CSV'!O11)</f>
        <v/>
      </c>
      <c r="F10" t="str">
        <f t="shared" si="2"/>
        <v/>
      </c>
      <c r="G10" t="str">
        <f t="shared" si="3"/>
        <v/>
      </c>
      <c r="CT10" t="str">
        <f t="shared" si="4"/>
        <v/>
      </c>
      <c r="CU10" s="33" t="str">
        <f>IFERROR(VLOOKUP(Procv!R10,Procv!$C$1:$D$21,2,0),"")</f>
        <v/>
      </c>
    </row>
    <row r="11" spans="1:99" x14ac:dyDescent="0.25">
      <c r="A11" t="str">
        <f>IF('DADOS CSV'!J12="","",'DADOS CSV'!J12)</f>
        <v/>
      </c>
      <c r="B11" s="30" t="str">
        <f>IF('DADOS CSV'!N12="","",'DADOS CSV'!N12)</f>
        <v/>
      </c>
      <c r="C11" t="str">
        <f t="shared" si="0"/>
        <v/>
      </c>
      <c r="D11" t="str">
        <f t="shared" si="1"/>
        <v/>
      </c>
      <c r="E11" s="30" t="str">
        <f>IF('DADOS CSV'!O12="","",'DADOS CSV'!O12)</f>
        <v/>
      </c>
      <c r="F11" t="str">
        <f t="shared" si="2"/>
        <v/>
      </c>
      <c r="G11" t="str">
        <f t="shared" si="3"/>
        <v/>
      </c>
      <c r="CT11" t="str">
        <f t="shared" si="4"/>
        <v/>
      </c>
      <c r="CU11" s="33" t="str">
        <f>IFERROR(VLOOKUP(Procv!R11,Procv!$C$1:$D$21,2,0),"")</f>
        <v/>
      </c>
    </row>
    <row r="12" spans="1:99" x14ac:dyDescent="0.25">
      <c r="A12" t="str">
        <f>IF('DADOS CSV'!J13="","",'DADOS CSV'!J13)</f>
        <v/>
      </c>
      <c r="B12" s="30" t="str">
        <f>IF('DADOS CSV'!N13="","",'DADOS CSV'!N13)</f>
        <v/>
      </c>
      <c r="C12" t="str">
        <f t="shared" si="0"/>
        <v/>
      </c>
      <c r="D12" t="str">
        <f t="shared" si="1"/>
        <v/>
      </c>
      <c r="E12" s="30" t="str">
        <f>IF('DADOS CSV'!O13="","",'DADOS CSV'!O13)</f>
        <v/>
      </c>
      <c r="F12" t="str">
        <f t="shared" si="2"/>
        <v/>
      </c>
      <c r="G12" t="str">
        <f t="shared" si="3"/>
        <v/>
      </c>
      <c r="CT12" t="str">
        <f t="shared" si="4"/>
        <v/>
      </c>
      <c r="CU12" s="33" t="str">
        <f>IFERROR(VLOOKUP(Procv!R12,Procv!$C$1:$D$21,2,0),"")</f>
        <v/>
      </c>
    </row>
    <row r="13" spans="1:99" x14ac:dyDescent="0.25">
      <c r="A13" t="str">
        <f>IF('DADOS CSV'!J14="","",'DADOS CSV'!J14)</f>
        <v/>
      </c>
      <c r="B13" s="30" t="str">
        <f>IF('DADOS CSV'!N14="","",'DADOS CSV'!N14)</f>
        <v/>
      </c>
      <c r="C13" t="str">
        <f t="shared" si="0"/>
        <v/>
      </c>
      <c r="D13" t="str">
        <f t="shared" si="1"/>
        <v/>
      </c>
      <c r="E13" s="30" t="str">
        <f>IF('DADOS CSV'!O14="","",'DADOS CSV'!O14)</f>
        <v/>
      </c>
      <c r="F13" t="str">
        <f t="shared" si="2"/>
        <v/>
      </c>
      <c r="G13" t="str">
        <f t="shared" si="3"/>
        <v/>
      </c>
      <c r="CT13" t="str">
        <f t="shared" si="4"/>
        <v/>
      </c>
      <c r="CU13" s="33" t="str">
        <f>IFERROR(VLOOKUP(Procv!R13,Procv!$C$1:$D$21,2,0),"")</f>
        <v/>
      </c>
    </row>
    <row r="14" spans="1:99" x14ac:dyDescent="0.25">
      <c r="A14" t="str">
        <f>IF('DADOS CSV'!J15="","",'DADOS CSV'!J15)</f>
        <v/>
      </c>
      <c r="B14" s="30" t="str">
        <f>IF('DADOS CSV'!N15="","",'DADOS CSV'!N15)</f>
        <v/>
      </c>
      <c r="C14" t="str">
        <f t="shared" si="0"/>
        <v/>
      </c>
      <c r="D14" t="str">
        <f t="shared" si="1"/>
        <v/>
      </c>
      <c r="E14" s="30" t="str">
        <f>IF('DADOS CSV'!O15="","",'DADOS CSV'!O15)</f>
        <v/>
      </c>
      <c r="F14" t="str">
        <f t="shared" si="2"/>
        <v/>
      </c>
      <c r="G14" t="str">
        <f t="shared" si="3"/>
        <v/>
      </c>
      <c r="CT14" t="str">
        <f t="shared" si="4"/>
        <v/>
      </c>
      <c r="CU14" s="33" t="str">
        <f>IFERROR(VLOOKUP(Procv!R14,Procv!$C$1:$D$21,2,0),"")</f>
        <v/>
      </c>
    </row>
    <row r="15" spans="1:99" x14ac:dyDescent="0.25">
      <c r="A15" t="str">
        <f>IF('DADOS CSV'!J16="","",'DADOS CSV'!J16)</f>
        <v/>
      </c>
      <c r="B15" s="30" t="str">
        <f>IF('DADOS CSV'!N16="","",'DADOS CSV'!N16)</f>
        <v/>
      </c>
      <c r="C15" t="str">
        <f t="shared" si="0"/>
        <v/>
      </c>
      <c r="D15" t="str">
        <f t="shared" si="1"/>
        <v/>
      </c>
      <c r="E15" s="30" t="str">
        <f>IF('DADOS CSV'!O16="","",'DADOS CSV'!O16)</f>
        <v/>
      </c>
      <c r="F15" t="str">
        <f t="shared" si="2"/>
        <v/>
      </c>
      <c r="G15" t="str">
        <f t="shared" si="3"/>
        <v/>
      </c>
      <c r="CT15" t="str">
        <f t="shared" si="4"/>
        <v/>
      </c>
      <c r="CU15" s="33" t="str">
        <f>IFERROR(VLOOKUP(Procv!R15,Procv!$C$1:$D$21,2,0),"")</f>
        <v/>
      </c>
    </row>
    <row r="16" spans="1:99" x14ac:dyDescent="0.25">
      <c r="A16" t="str">
        <f>IF('DADOS CSV'!J17="","",'DADOS CSV'!J17)</f>
        <v/>
      </c>
      <c r="B16" s="30" t="str">
        <f>IF('DADOS CSV'!N17="","",'DADOS CSV'!N17)</f>
        <v/>
      </c>
      <c r="C16" t="str">
        <f t="shared" si="0"/>
        <v/>
      </c>
      <c r="D16" t="str">
        <f t="shared" si="1"/>
        <v/>
      </c>
      <c r="E16" s="30" t="str">
        <f>IF('DADOS CSV'!O17="","",'DADOS CSV'!O17)</f>
        <v/>
      </c>
      <c r="F16" t="str">
        <f t="shared" si="2"/>
        <v/>
      </c>
      <c r="G16" t="str">
        <f t="shared" si="3"/>
        <v/>
      </c>
      <c r="CT16" t="str">
        <f t="shared" si="4"/>
        <v/>
      </c>
      <c r="CU16" s="33" t="str">
        <f>IFERROR(VLOOKUP(Procv!R16,Procv!$C$1:$D$21,2,0),"")</f>
        <v/>
      </c>
    </row>
    <row r="17" spans="1:99" x14ac:dyDescent="0.25">
      <c r="A17" t="str">
        <f>IF('DADOS CSV'!J18="","",'DADOS CSV'!J18)</f>
        <v/>
      </c>
      <c r="B17" s="30" t="str">
        <f>IF('DADOS CSV'!N18="","",'DADOS CSV'!N18)</f>
        <v/>
      </c>
      <c r="C17" t="str">
        <f t="shared" si="0"/>
        <v/>
      </c>
      <c r="D17" t="str">
        <f t="shared" si="1"/>
        <v/>
      </c>
      <c r="E17" s="30" t="str">
        <f>IF('DADOS CSV'!O18="","",'DADOS CSV'!O18)</f>
        <v/>
      </c>
      <c r="F17" t="str">
        <f t="shared" si="2"/>
        <v/>
      </c>
      <c r="G17" t="str">
        <f t="shared" si="3"/>
        <v/>
      </c>
      <c r="CT17" t="str">
        <f t="shared" si="4"/>
        <v/>
      </c>
      <c r="CU17" s="33" t="str">
        <f>IFERROR(VLOOKUP(Procv!R17,Procv!$C$1:$D$21,2,0),"")</f>
        <v/>
      </c>
    </row>
    <row r="18" spans="1:99" x14ac:dyDescent="0.25">
      <c r="A18" t="str">
        <f>IF('DADOS CSV'!J19="","",'DADOS CSV'!J19)</f>
        <v/>
      </c>
      <c r="B18" s="30" t="str">
        <f>IF('DADOS CSV'!N19="","",'DADOS CSV'!N19)</f>
        <v/>
      </c>
      <c r="C18" t="str">
        <f t="shared" si="0"/>
        <v/>
      </c>
      <c r="D18" t="str">
        <f t="shared" si="1"/>
        <v/>
      </c>
      <c r="E18" s="30" t="str">
        <f>IF('DADOS CSV'!O19="","",'DADOS CSV'!O19)</f>
        <v/>
      </c>
      <c r="F18" t="str">
        <f t="shared" si="2"/>
        <v/>
      </c>
      <c r="G18" t="str">
        <f t="shared" si="3"/>
        <v/>
      </c>
      <c r="CT18" t="str">
        <f t="shared" si="4"/>
        <v/>
      </c>
      <c r="CU18" s="33" t="str">
        <f>IFERROR(VLOOKUP(Procv!R18,Procv!$C$1:$D$21,2,0),"")</f>
        <v/>
      </c>
    </row>
    <row r="19" spans="1:99" x14ac:dyDescent="0.25">
      <c r="A19" t="str">
        <f>IF('DADOS CSV'!J20="","",'DADOS CSV'!J20)</f>
        <v/>
      </c>
      <c r="B19" s="30" t="str">
        <f>IF('DADOS CSV'!N20="","",'DADOS CSV'!N20)</f>
        <v/>
      </c>
      <c r="C19" t="str">
        <f t="shared" si="0"/>
        <v/>
      </c>
      <c r="D19" t="str">
        <f t="shared" si="1"/>
        <v/>
      </c>
      <c r="E19" s="30" t="str">
        <f>IF('DADOS CSV'!O20="","",'DADOS CSV'!O20)</f>
        <v/>
      </c>
      <c r="F19" t="str">
        <f t="shared" si="2"/>
        <v/>
      </c>
      <c r="G19" t="str">
        <f t="shared" si="3"/>
        <v/>
      </c>
      <c r="CT19" t="str">
        <f t="shared" si="4"/>
        <v/>
      </c>
      <c r="CU19" s="33" t="str">
        <f>IFERROR(VLOOKUP(Procv!R19,Procv!$C$1:$D$21,2,0),"")</f>
        <v/>
      </c>
    </row>
    <row r="20" spans="1:99" x14ac:dyDescent="0.25">
      <c r="A20" t="str">
        <f>IF('DADOS CSV'!J21="","",'DADOS CSV'!J21)</f>
        <v/>
      </c>
      <c r="B20" s="30" t="str">
        <f>IF('DADOS CSV'!N21="","",'DADOS CSV'!N21)</f>
        <v/>
      </c>
      <c r="C20" t="str">
        <f t="shared" si="0"/>
        <v/>
      </c>
      <c r="D20" t="str">
        <f t="shared" si="1"/>
        <v/>
      </c>
      <c r="E20" s="30" t="str">
        <f>IF('DADOS CSV'!O21="","",'DADOS CSV'!O21)</f>
        <v/>
      </c>
      <c r="F20" t="str">
        <f t="shared" si="2"/>
        <v/>
      </c>
      <c r="G20" t="str">
        <f t="shared" si="3"/>
        <v/>
      </c>
      <c r="CT20" t="str">
        <f t="shared" si="4"/>
        <v/>
      </c>
      <c r="CU20" s="33" t="str">
        <f>IFERROR(VLOOKUP(Procv!R20,Procv!$C$1:$D$21,2,0),"")</f>
        <v/>
      </c>
    </row>
    <row r="21" spans="1:99" x14ac:dyDescent="0.25">
      <c r="A21" t="str">
        <f>IF('DADOS CSV'!J22="","",'DADOS CSV'!J22)</f>
        <v/>
      </c>
      <c r="B21" s="30" t="str">
        <f>IF('DADOS CSV'!N22="","",'DADOS CSV'!N22)</f>
        <v/>
      </c>
      <c r="C21" t="str">
        <f t="shared" si="0"/>
        <v/>
      </c>
      <c r="D21" t="str">
        <f t="shared" si="1"/>
        <v/>
      </c>
      <c r="E21" s="30" t="str">
        <f>IF('DADOS CSV'!O22="","",'DADOS CSV'!O22)</f>
        <v/>
      </c>
      <c r="F21" t="str">
        <f t="shared" si="2"/>
        <v/>
      </c>
      <c r="G21" t="str">
        <f t="shared" si="3"/>
        <v/>
      </c>
      <c r="CT21" t="str">
        <f t="shared" si="4"/>
        <v/>
      </c>
      <c r="CU21" s="33" t="str">
        <f>IFERROR(VLOOKUP(Procv!R21,Procv!$C$1:$D$21,2,0),"")</f>
        <v/>
      </c>
    </row>
    <row r="22" spans="1:99" x14ac:dyDescent="0.25">
      <c r="A22" t="str">
        <f>IF('DADOS CSV'!J23="","",'DADOS CSV'!J23)</f>
        <v/>
      </c>
      <c r="B22" s="30" t="str">
        <f>IF('DADOS CSV'!N23="","",'DADOS CSV'!N23)</f>
        <v/>
      </c>
      <c r="C22" t="str">
        <f t="shared" si="0"/>
        <v/>
      </c>
      <c r="D22" t="str">
        <f t="shared" si="1"/>
        <v/>
      </c>
      <c r="E22" s="30" t="str">
        <f>IF('DADOS CSV'!O23="","",'DADOS CSV'!O23)</f>
        <v/>
      </c>
      <c r="F22" t="str">
        <f t="shared" si="2"/>
        <v/>
      </c>
      <c r="G22" t="str">
        <f t="shared" si="3"/>
        <v/>
      </c>
      <c r="CT22" t="str">
        <f t="shared" si="4"/>
        <v/>
      </c>
      <c r="CU22" s="33" t="str">
        <f>IFERROR(VLOOKUP(Procv!R22,Procv!$C$1:$D$21,2,0),"")</f>
        <v/>
      </c>
    </row>
    <row r="23" spans="1:99" x14ac:dyDescent="0.25">
      <c r="A23" t="str">
        <f>IF('DADOS CSV'!J24="","",'DADOS CSV'!J24)</f>
        <v/>
      </c>
      <c r="B23" s="30" t="str">
        <f>IF('DADOS CSV'!N24="","",'DADOS CSV'!N24)</f>
        <v/>
      </c>
      <c r="C23" t="str">
        <f t="shared" si="0"/>
        <v/>
      </c>
      <c r="D23" t="str">
        <f t="shared" si="1"/>
        <v/>
      </c>
      <c r="E23" s="30" t="str">
        <f>IF('DADOS CSV'!O24="","",'DADOS CSV'!O24)</f>
        <v/>
      </c>
      <c r="F23" t="str">
        <f t="shared" si="2"/>
        <v/>
      </c>
      <c r="G23" t="str">
        <f t="shared" si="3"/>
        <v/>
      </c>
      <c r="CT23" t="str">
        <f t="shared" si="4"/>
        <v/>
      </c>
      <c r="CU23" s="33" t="str">
        <f>IFERROR(VLOOKUP(Procv!R23,Procv!$C$1:$D$21,2,0),"")</f>
        <v/>
      </c>
    </row>
    <row r="24" spans="1:99" x14ac:dyDescent="0.25">
      <c r="A24" t="str">
        <f>IF('DADOS CSV'!J25="","",'DADOS CSV'!J25)</f>
        <v/>
      </c>
      <c r="B24" s="30" t="str">
        <f>IF('DADOS CSV'!N25="","",'DADOS CSV'!N25)</f>
        <v/>
      </c>
      <c r="C24" t="str">
        <f t="shared" si="0"/>
        <v/>
      </c>
      <c r="D24" t="str">
        <f t="shared" si="1"/>
        <v/>
      </c>
      <c r="E24" s="30" t="str">
        <f>IF('DADOS CSV'!O25="","",'DADOS CSV'!O25)</f>
        <v/>
      </c>
      <c r="F24" t="str">
        <f t="shared" si="2"/>
        <v/>
      </c>
      <c r="G24" t="str">
        <f t="shared" si="3"/>
        <v/>
      </c>
      <c r="CT24" t="str">
        <f t="shared" si="4"/>
        <v/>
      </c>
      <c r="CU24" s="33" t="str">
        <f>IFERROR(VLOOKUP(Procv!R24,Procv!$C$1:$D$21,2,0),"")</f>
        <v/>
      </c>
    </row>
    <row r="25" spans="1:99" x14ac:dyDescent="0.25">
      <c r="A25" t="str">
        <f>IF('DADOS CSV'!J26="","",'DADOS CSV'!J26)</f>
        <v/>
      </c>
      <c r="B25" s="30" t="str">
        <f>IF('DADOS CSV'!N26="","",'DADOS CSV'!N26)</f>
        <v/>
      </c>
      <c r="C25" t="str">
        <f t="shared" si="0"/>
        <v/>
      </c>
      <c r="D25" t="str">
        <f t="shared" si="1"/>
        <v/>
      </c>
      <c r="E25" s="30" t="str">
        <f>IF('DADOS CSV'!O26="","",'DADOS CSV'!O26)</f>
        <v/>
      </c>
      <c r="F25" t="str">
        <f t="shared" si="2"/>
        <v/>
      </c>
      <c r="G25" t="str">
        <f t="shared" si="3"/>
        <v/>
      </c>
      <c r="CT25" t="str">
        <f t="shared" si="4"/>
        <v/>
      </c>
      <c r="CU25" s="33" t="str">
        <f>IFERROR(VLOOKUP(Procv!R25,Procv!$C$1:$D$21,2,0),"")</f>
        <v/>
      </c>
    </row>
    <row r="26" spans="1:99" x14ac:dyDescent="0.25">
      <c r="A26" t="str">
        <f>IF('DADOS CSV'!J27="","",'DADOS CSV'!J27)</f>
        <v/>
      </c>
      <c r="B26" s="30" t="str">
        <f>IF('DADOS CSV'!N27="","",'DADOS CSV'!N27)</f>
        <v/>
      </c>
      <c r="C26" t="str">
        <f t="shared" si="0"/>
        <v/>
      </c>
      <c r="D26" t="str">
        <f t="shared" si="1"/>
        <v/>
      </c>
      <c r="E26" s="30" t="str">
        <f>IF('DADOS CSV'!O27="","",'DADOS CSV'!O27)</f>
        <v/>
      </c>
      <c r="F26" t="str">
        <f t="shared" si="2"/>
        <v/>
      </c>
      <c r="G26" t="str">
        <f t="shared" si="3"/>
        <v/>
      </c>
      <c r="CT26" t="str">
        <f t="shared" si="4"/>
        <v/>
      </c>
      <c r="CU26" s="33" t="str">
        <f>IFERROR(VLOOKUP(Procv!R26,Procv!$C$1:$D$21,2,0),"")</f>
        <v/>
      </c>
    </row>
    <row r="27" spans="1:99" x14ac:dyDescent="0.25">
      <c r="A27" t="str">
        <f>IF('DADOS CSV'!J28="","",'DADOS CSV'!J28)</f>
        <v/>
      </c>
      <c r="B27" s="30" t="str">
        <f>IF('DADOS CSV'!N28="","",'DADOS CSV'!N28)</f>
        <v/>
      </c>
      <c r="C27" t="str">
        <f t="shared" si="0"/>
        <v/>
      </c>
      <c r="D27" t="str">
        <f t="shared" si="1"/>
        <v/>
      </c>
      <c r="E27" s="30" t="str">
        <f>IF('DADOS CSV'!O28="","",'DADOS CSV'!O28)</f>
        <v/>
      </c>
      <c r="F27" t="str">
        <f t="shared" si="2"/>
        <v/>
      </c>
      <c r="G27" t="str">
        <f t="shared" si="3"/>
        <v/>
      </c>
      <c r="CT27" t="str">
        <f t="shared" si="4"/>
        <v/>
      </c>
      <c r="CU27" s="33" t="str">
        <f>IFERROR(VLOOKUP(Procv!R27,Procv!$C$1:$D$21,2,0),"")</f>
        <v/>
      </c>
    </row>
    <row r="28" spans="1:99" x14ac:dyDescent="0.25">
      <c r="A28" t="str">
        <f>IF('DADOS CSV'!J29="","",'DADOS CSV'!J29)</f>
        <v/>
      </c>
      <c r="B28" s="30" t="str">
        <f>IF('DADOS CSV'!N29="","",'DADOS CSV'!N29)</f>
        <v/>
      </c>
      <c r="C28" t="str">
        <f t="shared" si="0"/>
        <v/>
      </c>
      <c r="D28" t="str">
        <f t="shared" si="1"/>
        <v/>
      </c>
      <c r="E28" s="30" t="str">
        <f>IF('DADOS CSV'!O29="","",'DADOS CSV'!O29)</f>
        <v/>
      </c>
      <c r="F28" t="str">
        <f t="shared" si="2"/>
        <v/>
      </c>
      <c r="G28" t="str">
        <f t="shared" si="3"/>
        <v/>
      </c>
      <c r="CT28" t="str">
        <f t="shared" si="4"/>
        <v/>
      </c>
      <c r="CU28" s="33" t="str">
        <f>IFERROR(VLOOKUP(Procv!R28,Procv!$C$1:$D$21,2,0),"")</f>
        <v/>
      </c>
    </row>
    <row r="29" spans="1:99" x14ac:dyDescent="0.25">
      <c r="A29" t="str">
        <f>IF('DADOS CSV'!J30="","",'DADOS CSV'!J30)</f>
        <v/>
      </c>
      <c r="B29" s="30" t="str">
        <f>IF('DADOS CSV'!N30="","",'DADOS CSV'!N30)</f>
        <v/>
      </c>
      <c r="C29" t="str">
        <f t="shared" si="0"/>
        <v/>
      </c>
      <c r="D29" t="str">
        <f t="shared" si="1"/>
        <v/>
      </c>
      <c r="E29" s="30" t="str">
        <f>IF('DADOS CSV'!O30="","",'DADOS CSV'!O30)</f>
        <v/>
      </c>
      <c r="F29" t="str">
        <f t="shared" si="2"/>
        <v/>
      </c>
      <c r="G29" t="str">
        <f t="shared" si="3"/>
        <v/>
      </c>
      <c r="CT29" t="str">
        <f t="shared" si="4"/>
        <v/>
      </c>
      <c r="CU29" s="33" t="str">
        <f>IFERROR(VLOOKUP(Procv!R29,Procv!$C$1:$D$21,2,0),"")</f>
        <v/>
      </c>
    </row>
    <row r="30" spans="1:99" x14ac:dyDescent="0.25">
      <c r="A30" t="str">
        <f>IF('DADOS CSV'!J31="","",'DADOS CSV'!J31)</f>
        <v/>
      </c>
      <c r="B30" s="30" t="str">
        <f>IF('DADOS CSV'!N31="","",'DADOS CSV'!N31)</f>
        <v/>
      </c>
      <c r="C30" t="str">
        <f t="shared" si="0"/>
        <v/>
      </c>
      <c r="D30" t="str">
        <f t="shared" si="1"/>
        <v/>
      </c>
      <c r="E30" s="30" t="str">
        <f>IF('DADOS CSV'!O31="","",'DADOS CSV'!O31)</f>
        <v/>
      </c>
      <c r="F30" t="str">
        <f t="shared" si="2"/>
        <v/>
      </c>
      <c r="G30" t="str">
        <f t="shared" si="3"/>
        <v/>
      </c>
      <c r="CT30" t="str">
        <f t="shared" si="4"/>
        <v/>
      </c>
      <c r="CU30" s="33" t="str">
        <f>IFERROR(VLOOKUP(Procv!R30,Procv!$C$1:$D$21,2,0),"")</f>
        <v/>
      </c>
    </row>
    <row r="31" spans="1:99" x14ac:dyDescent="0.25">
      <c r="A31" t="str">
        <f>IF('DADOS CSV'!J32="","",'DADOS CSV'!J32)</f>
        <v/>
      </c>
      <c r="B31" s="30" t="str">
        <f>IF('DADOS CSV'!N32="","",'DADOS CSV'!N32)</f>
        <v/>
      </c>
      <c r="C31" t="str">
        <f t="shared" si="0"/>
        <v/>
      </c>
      <c r="D31" t="str">
        <f t="shared" si="1"/>
        <v/>
      </c>
      <c r="E31" s="30" t="str">
        <f>IF('DADOS CSV'!O32="","",'DADOS CSV'!O32)</f>
        <v/>
      </c>
      <c r="F31" t="str">
        <f t="shared" si="2"/>
        <v/>
      </c>
      <c r="G31" t="str">
        <f t="shared" si="3"/>
        <v/>
      </c>
      <c r="CT31" t="str">
        <f t="shared" si="4"/>
        <v/>
      </c>
      <c r="CU31" s="33" t="str">
        <f>IFERROR(VLOOKUP(Procv!R31,Procv!$C$1:$D$21,2,0),"")</f>
        <v/>
      </c>
    </row>
    <row r="32" spans="1:99" x14ac:dyDescent="0.25">
      <c r="A32" t="str">
        <f>IF('DADOS CSV'!J33="","",'DADOS CSV'!J33)</f>
        <v/>
      </c>
      <c r="B32" s="30" t="str">
        <f>IF('DADOS CSV'!N33="","",'DADOS CSV'!N33)</f>
        <v/>
      </c>
      <c r="C32" t="str">
        <f t="shared" si="0"/>
        <v/>
      </c>
      <c r="D32" t="str">
        <f t="shared" si="1"/>
        <v/>
      </c>
      <c r="E32" s="30" t="str">
        <f>IF('DADOS CSV'!O33="","",'DADOS CSV'!O33)</f>
        <v/>
      </c>
      <c r="F32" t="str">
        <f t="shared" si="2"/>
        <v/>
      </c>
      <c r="G32" t="str">
        <f t="shared" si="3"/>
        <v/>
      </c>
      <c r="CT32" t="str">
        <f t="shared" si="4"/>
        <v/>
      </c>
      <c r="CU32" s="33" t="str">
        <f>IFERROR(VLOOKUP(Procv!R32,Procv!$C$1:$D$21,2,0),"")</f>
        <v/>
      </c>
    </row>
    <row r="33" spans="1:99" x14ac:dyDescent="0.25">
      <c r="A33" t="str">
        <f>IF('DADOS CSV'!J34="","",'DADOS CSV'!J34)</f>
        <v/>
      </c>
      <c r="B33" s="30" t="str">
        <f>IF('DADOS CSV'!N34="","",'DADOS CSV'!N34)</f>
        <v/>
      </c>
      <c r="C33" t="str">
        <f t="shared" si="0"/>
        <v/>
      </c>
      <c r="D33" t="str">
        <f t="shared" si="1"/>
        <v/>
      </c>
      <c r="E33" s="30" t="str">
        <f>IF('DADOS CSV'!O34="","",'DADOS CSV'!O34)</f>
        <v/>
      </c>
      <c r="F33" t="str">
        <f t="shared" si="2"/>
        <v/>
      </c>
      <c r="G33" t="str">
        <f t="shared" si="3"/>
        <v/>
      </c>
      <c r="CT33" t="str">
        <f t="shared" si="4"/>
        <v/>
      </c>
      <c r="CU33" s="33" t="str">
        <f>IFERROR(VLOOKUP(Procv!R33,Procv!$C$1:$D$21,2,0),"")</f>
        <v/>
      </c>
    </row>
    <row r="34" spans="1:99" x14ac:dyDescent="0.25">
      <c r="A34" t="str">
        <f>IF('DADOS CSV'!J35="","",'DADOS CSV'!J35)</f>
        <v/>
      </c>
      <c r="B34" s="30" t="str">
        <f>IF('DADOS CSV'!N35="","",'DADOS CSV'!N35)</f>
        <v/>
      </c>
      <c r="C34" t="str">
        <f t="shared" si="0"/>
        <v/>
      </c>
      <c r="D34" t="str">
        <f t="shared" si="1"/>
        <v/>
      </c>
      <c r="E34" s="30" t="str">
        <f>IF('DADOS CSV'!O35="","",'DADOS CSV'!O35)</f>
        <v/>
      </c>
      <c r="F34" t="str">
        <f t="shared" si="2"/>
        <v/>
      </c>
      <c r="G34" t="str">
        <f t="shared" si="3"/>
        <v/>
      </c>
      <c r="CT34" t="str">
        <f t="shared" si="4"/>
        <v/>
      </c>
      <c r="CU34" s="33" t="str">
        <f>IFERROR(VLOOKUP(Procv!R34,Procv!$C$1:$D$21,2,0),"")</f>
        <v/>
      </c>
    </row>
    <row r="35" spans="1:99" x14ac:dyDescent="0.25">
      <c r="A35" t="str">
        <f>IF('DADOS CSV'!J36="","",'DADOS CSV'!J36)</f>
        <v/>
      </c>
      <c r="B35" s="30" t="str">
        <f>IF('DADOS CSV'!N36="","",'DADOS CSV'!N36)</f>
        <v/>
      </c>
      <c r="C35" t="str">
        <f t="shared" ref="C35:C66" si="5">IF(A35="","",$C$2)</f>
        <v/>
      </c>
      <c r="D35" t="str">
        <f t="shared" ref="D35:D66" si="6">IF(A35="","",$D$2)</f>
        <v/>
      </c>
      <c r="E35" s="30" t="str">
        <f>IF('DADOS CSV'!O36="","",'DADOS CSV'!O36)</f>
        <v/>
      </c>
      <c r="F35" t="str">
        <f t="shared" ref="F35:F66" si="7">IF(A35="","",$F$2)</f>
        <v/>
      </c>
      <c r="G35" t="str">
        <f t="shared" ref="G35:G66" si="8">IF(A35="","",$G$2)</f>
        <v/>
      </c>
      <c r="CT35" t="str">
        <f t="shared" ref="CT35:CT66" si="9">IF(A35="","",$CT$2)</f>
        <v/>
      </c>
      <c r="CU35" s="33" t="str">
        <f>IFERROR(VLOOKUP(Procv!R35,Procv!$C$1:$D$21,2,0),"")</f>
        <v/>
      </c>
    </row>
    <row r="36" spans="1:99" x14ac:dyDescent="0.25">
      <c r="A36" t="str">
        <f>IF('DADOS CSV'!J37="","",'DADOS CSV'!J37)</f>
        <v/>
      </c>
      <c r="B36" s="30" t="str">
        <f>IF('DADOS CSV'!N37="","",'DADOS CSV'!N37)</f>
        <v/>
      </c>
      <c r="C36" t="str">
        <f t="shared" si="5"/>
        <v/>
      </c>
      <c r="D36" t="str">
        <f t="shared" si="6"/>
        <v/>
      </c>
      <c r="E36" s="30" t="str">
        <f>IF('DADOS CSV'!O37="","",'DADOS CSV'!O37)</f>
        <v/>
      </c>
      <c r="F36" t="str">
        <f t="shared" si="7"/>
        <v/>
      </c>
      <c r="G36" t="str">
        <f t="shared" si="8"/>
        <v/>
      </c>
      <c r="CT36" t="str">
        <f t="shared" si="9"/>
        <v/>
      </c>
      <c r="CU36" s="33" t="str">
        <f>IFERROR(VLOOKUP(Procv!R36,Procv!$C$1:$D$21,2,0),"")</f>
        <v/>
      </c>
    </row>
    <row r="37" spans="1:99" x14ac:dyDescent="0.25">
      <c r="A37" t="str">
        <f>IF('DADOS CSV'!J38="","",'DADOS CSV'!J38)</f>
        <v/>
      </c>
      <c r="B37" s="30" t="str">
        <f>IF('DADOS CSV'!N38="","",'DADOS CSV'!N38)</f>
        <v/>
      </c>
      <c r="C37" t="str">
        <f t="shared" si="5"/>
        <v/>
      </c>
      <c r="D37" t="str">
        <f t="shared" si="6"/>
        <v/>
      </c>
      <c r="E37" s="30" t="str">
        <f>IF('DADOS CSV'!O38="","",'DADOS CSV'!O38)</f>
        <v/>
      </c>
      <c r="F37" t="str">
        <f t="shared" si="7"/>
        <v/>
      </c>
      <c r="G37" t="str">
        <f t="shared" si="8"/>
        <v/>
      </c>
      <c r="CT37" t="str">
        <f t="shared" si="9"/>
        <v/>
      </c>
      <c r="CU37" s="33" t="str">
        <f>IFERROR(VLOOKUP(Procv!R37,Procv!$C$1:$D$21,2,0),"")</f>
        <v/>
      </c>
    </row>
    <row r="38" spans="1:99" x14ac:dyDescent="0.25">
      <c r="A38" t="str">
        <f>IF('DADOS CSV'!J39="","",'DADOS CSV'!J39)</f>
        <v/>
      </c>
      <c r="B38" s="30" t="str">
        <f>IF('DADOS CSV'!N39="","",'DADOS CSV'!N39)</f>
        <v/>
      </c>
      <c r="C38" t="str">
        <f t="shared" si="5"/>
        <v/>
      </c>
      <c r="D38" t="str">
        <f t="shared" si="6"/>
        <v/>
      </c>
      <c r="E38" s="30" t="str">
        <f>IF('DADOS CSV'!O39="","",'DADOS CSV'!O39)</f>
        <v/>
      </c>
      <c r="F38" t="str">
        <f t="shared" si="7"/>
        <v/>
      </c>
      <c r="G38" t="str">
        <f t="shared" si="8"/>
        <v/>
      </c>
      <c r="CT38" t="str">
        <f t="shared" si="9"/>
        <v/>
      </c>
      <c r="CU38" s="33" t="str">
        <f>IFERROR(VLOOKUP(Procv!R38,Procv!$C$1:$D$21,2,0),"")</f>
        <v/>
      </c>
    </row>
    <row r="39" spans="1:99" x14ac:dyDescent="0.25">
      <c r="A39" t="str">
        <f>IF('DADOS CSV'!J40="","",'DADOS CSV'!J40)</f>
        <v/>
      </c>
      <c r="B39" s="30" t="str">
        <f>IF('DADOS CSV'!N40="","",'DADOS CSV'!N40)</f>
        <v/>
      </c>
      <c r="C39" t="str">
        <f t="shared" si="5"/>
        <v/>
      </c>
      <c r="D39" t="str">
        <f t="shared" si="6"/>
        <v/>
      </c>
      <c r="E39" s="30" t="str">
        <f>IF('DADOS CSV'!O40="","",'DADOS CSV'!O40)</f>
        <v/>
      </c>
      <c r="F39" t="str">
        <f t="shared" si="7"/>
        <v/>
      </c>
      <c r="G39" t="str">
        <f t="shared" si="8"/>
        <v/>
      </c>
      <c r="CT39" t="str">
        <f t="shared" si="9"/>
        <v/>
      </c>
      <c r="CU39" s="33" t="str">
        <f>IFERROR(VLOOKUP(Procv!R39,Procv!$C$1:$D$21,2,0),"")</f>
        <v/>
      </c>
    </row>
    <row r="40" spans="1:99" x14ac:dyDescent="0.25">
      <c r="A40" t="str">
        <f>IF('DADOS CSV'!J41="","",'DADOS CSV'!J41)</f>
        <v/>
      </c>
      <c r="B40" s="30" t="str">
        <f>IF('DADOS CSV'!N41="","",'DADOS CSV'!N41)</f>
        <v/>
      </c>
      <c r="C40" t="str">
        <f t="shared" si="5"/>
        <v/>
      </c>
      <c r="D40" t="str">
        <f t="shared" si="6"/>
        <v/>
      </c>
      <c r="E40" s="30" t="str">
        <f>IF('DADOS CSV'!O41="","",'DADOS CSV'!O41)</f>
        <v/>
      </c>
      <c r="F40" t="str">
        <f t="shared" si="7"/>
        <v/>
      </c>
      <c r="G40" t="str">
        <f t="shared" si="8"/>
        <v/>
      </c>
      <c r="CT40" t="str">
        <f t="shared" si="9"/>
        <v/>
      </c>
      <c r="CU40" s="33" t="str">
        <f>IFERROR(VLOOKUP(Procv!R40,Procv!$C$1:$D$21,2,0),"")</f>
        <v/>
      </c>
    </row>
    <row r="41" spans="1:99" x14ac:dyDescent="0.25">
      <c r="A41" t="str">
        <f>IF('DADOS CSV'!J42="","",'DADOS CSV'!J42)</f>
        <v/>
      </c>
      <c r="B41" s="30" t="str">
        <f>IF('DADOS CSV'!N42="","",'DADOS CSV'!N42)</f>
        <v/>
      </c>
      <c r="C41" t="str">
        <f t="shared" si="5"/>
        <v/>
      </c>
      <c r="D41" t="str">
        <f t="shared" si="6"/>
        <v/>
      </c>
      <c r="E41" s="30" t="str">
        <f>IF('DADOS CSV'!O42="","",'DADOS CSV'!O42)</f>
        <v/>
      </c>
      <c r="F41" t="str">
        <f t="shared" si="7"/>
        <v/>
      </c>
      <c r="G41" t="str">
        <f t="shared" si="8"/>
        <v/>
      </c>
      <c r="CT41" t="str">
        <f t="shared" si="9"/>
        <v/>
      </c>
      <c r="CU41" s="33" t="str">
        <f>IFERROR(VLOOKUP(Procv!R41,Procv!$C$1:$D$21,2,0),"")</f>
        <v/>
      </c>
    </row>
    <row r="42" spans="1:99" x14ac:dyDescent="0.25">
      <c r="A42" t="str">
        <f>IF('DADOS CSV'!J43="","",'DADOS CSV'!J43)</f>
        <v/>
      </c>
      <c r="B42" s="30" t="str">
        <f>IF('DADOS CSV'!N43="","",'DADOS CSV'!N43)</f>
        <v/>
      </c>
      <c r="C42" t="str">
        <f t="shared" si="5"/>
        <v/>
      </c>
      <c r="D42" t="str">
        <f t="shared" si="6"/>
        <v/>
      </c>
      <c r="E42" s="30" t="str">
        <f>IF('DADOS CSV'!O43="","",'DADOS CSV'!O43)</f>
        <v/>
      </c>
      <c r="F42" t="str">
        <f t="shared" si="7"/>
        <v/>
      </c>
      <c r="G42" t="str">
        <f t="shared" si="8"/>
        <v/>
      </c>
      <c r="CT42" t="str">
        <f t="shared" si="9"/>
        <v/>
      </c>
      <c r="CU42" s="33" t="str">
        <f>IFERROR(VLOOKUP(Procv!R42,Procv!$C$1:$D$21,2,0),"")</f>
        <v/>
      </c>
    </row>
    <row r="43" spans="1:99" x14ac:dyDescent="0.25">
      <c r="A43" t="str">
        <f>IF('DADOS CSV'!J44="","",'DADOS CSV'!J44)</f>
        <v/>
      </c>
      <c r="B43" s="30" t="str">
        <f>IF('DADOS CSV'!N44="","",'DADOS CSV'!N44)</f>
        <v/>
      </c>
      <c r="C43" t="str">
        <f t="shared" si="5"/>
        <v/>
      </c>
      <c r="D43" t="str">
        <f t="shared" si="6"/>
        <v/>
      </c>
      <c r="E43" s="30" t="str">
        <f>IF('DADOS CSV'!O44="","",'DADOS CSV'!O44)</f>
        <v/>
      </c>
      <c r="F43" t="str">
        <f t="shared" si="7"/>
        <v/>
      </c>
      <c r="G43" t="str">
        <f t="shared" si="8"/>
        <v/>
      </c>
      <c r="CT43" t="str">
        <f t="shared" si="9"/>
        <v/>
      </c>
      <c r="CU43" s="33" t="str">
        <f>IFERROR(VLOOKUP(Procv!R43,Procv!$C$1:$D$21,2,0),"")</f>
        <v/>
      </c>
    </row>
    <row r="44" spans="1:99" x14ac:dyDescent="0.25">
      <c r="A44" t="str">
        <f>IF('DADOS CSV'!J45="","",'DADOS CSV'!J45)</f>
        <v/>
      </c>
      <c r="B44" s="30" t="str">
        <f>IF('DADOS CSV'!N45="","",'DADOS CSV'!N45)</f>
        <v/>
      </c>
      <c r="C44" t="str">
        <f t="shared" si="5"/>
        <v/>
      </c>
      <c r="D44" t="str">
        <f t="shared" si="6"/>
        <v/>
      </c>
      <c r="E44" s="30" t="str">
        <f>IF('DADOS CSV'!O45="","",'DADOS CSV'!O45)</f>
        <v/>
      </c>
      <c r="F44" t="str">
        <f t="shared" si="7"/>
        <v/>
      </c>
      <c r="G44" t="str">
        <f t="shared" si="8"/>
        <v/>
      </c>
      <c r="CT44" t="str">
        <f t="shared" si="9"/>
        <v/>
      </c>
      <c r="CU44" s="33" t="str">
        <f>IFERROR(VLOOKUP(Procv!R44,Procv!$C$1:$D$21,2,0),"")</f>
        <v/>
      </c>
    </row>
    <row r="45" spans="1:99" x14ac:dyDescent="0.25">
      <c r="A45" t="str">
        <f>IF('DADOS CSV'!J46="","",'DADOS CSV'!J46)</f>
        <v/>
      </c>
      <c r="B45" s="30" t="str">
        <f>IF('DADOS CSV'!N46="","",'DADOS CSV'!N46)</f>
        <v/>
      </c>
      <c r="C45" t="str">
        <f t="shared" si="5"/>
        <v/>
      </c>
      <c r="D45" t="str">
        <f t="shared" si="6"/>
        <v/>
      </c>
      <c r="E45" s="30" t="str">
        <f>IF('DADOS CSV'!O46="","",'DADOS CSV'!O46)</f>
        <v/>
      </c>
      <c r="F45" t="str">
        <f t="shared" si="7"/>
        <v/>
      </c>
      <c r="G45" t="str">
        <f t="shared" si="8"/>
        <v/>
      </c>
      <c r="CT45" t="str">
        <f t="shared" si="9"/>
        <v/>
      </c>
      <c r="CU45" s="33" t="str">
        <f>IFERROR(VLOOKUP(Procv!R45,Procv!$C$1:$D$21,2,0),"")</f>
        <v/>
      </c>
    </row>
    <row r="46" spans="1:99" x14ac:dyDescent="0.25">
      <c r="A46" t="str">
        <f>IF('DADOS CSV'!J47="","",'DADOS CSV'!J47)</f>
        <v/>
      </c>
      <c r="B46" s="30" t="str">
        <f>IF('DADOS CSV'!N47="","",'DADOS CSV'!N47)</f>
        <v/>
      </c>
      <c r="C46" t="str">
        <f t="shared" si="5"/>
        <v/>
      </c>
      <c r="D46" t="str">
        <f t="shared" si="6"/>
        <v/>
      </c>
      <c r="E46" s="30" t="str">
        <f>IF('DADOS CSV'!O47="","",'DADOS CSV'!O47)</f>
        <v/>
      </c>
      <c r="F46" t="str">
        <f t="shared" si="7"/>
        <v/>
      </c>
      <c r="G46" t="str">
        <f t="shared" si="8"/>
        <v/>
      </c>
      <c r="CT46" t="str">
        <f t="shared" si="9"/>
        <v/>
      </c>
      <c r="CU46" s="33" t="str">
        <f>IFERROR(VLOOKUP(Procv!R46,Procv!$C$1:$D$21,2,0),"")</f>
        <v/>
      </c>
    </row>
    <row r="47" spans="1:99" x14ac:dyDescent="0.25">
      <c r="A47" t="str">
        <f>IF('DADOS CSV'!J48="","",'DADOS CSV'!J48)</f>
        <v/>
      </c>
      <c r="B47" s="30" t="str">
        <f>IF('DADOS CSV'!N48="","",'DADOS CSV'!N48)</f>
        <v/>
      </c>
      <c r="C47" t="str">
        <f t="shared" si="5"/>
        <v/>
      </c>
      <c r="D47" t="str">
        <f t="shared" si="6"/>
        <v/>
      </c>
      <c r="E47" s="30" t="str">
        <f>IF('DADOS CSV'!O48="","",'DADOS CSV'!O48)</f>
        <v/>
      </c>
      <c r="F47" t="str">
        <f t="shared" si="7"/>
        <v/>
      </c>
      <c r="G47" t="str">
        <f t="shared" si="8"/>
        <v/>
      </c>
      <c r="CT47" t="str">
        <f t="shared" si="9"/>
        <v/>
      </c>
      <c r="CU47" s="33" t="str">
        <f>IFERROR(VLOOKUP(Procv!R47,Procv!$C$1:$D$21,2,0),"")</f>
        <v/>
      </c>
    </row>
    <row r="48" spans="1:99" x14ac:dyDescent="0.25">
      <c r="A48" t="str">
        <f>IF('DADOS CSV'!J49="","",'DADOS CSV'!J49)</f>
        <v/>
      </c>
      <c r="B48" s="30" t="str">
        <f>IF('DADOS CSV'!N49="","",'DADOS CSV'!N49)</f>
        <v/>
      </c>
      <c r="C48" t="str">
        <f t="shared" si="5"/>
        <v/>
      </c>
      <c r="D48" t="str">
        <f t="shared" si="6"/>
        <v/>
      </c>
      <c r="E48" s="30" t="str">
        <f>IF('DADOS CSV'!O49="","",'DADOS CSV'!O49)</f>
        <v/>
      </c>
      <c r="F48" t="str">
        <f t="shared" si="7"/>
        <v/>
      </c>
      <c r="G48" t="str">
        <f t="shared" si="8"/>
        <v/>
      </c>
      <c r="CT48" t="str">
        <f t="shared" si="9"/>
        <v/>
      </c>
      <c r="CU48" s="33" t="str">
        <f>IFERROR(VLOOKUP(Procv!R48,Procv!$C$1:$D$21,2,0),"")</f>
        <v/>
      </c>
    </row>
    <row r="49" spans="1:99" x14ac:dyDescent="0.25">
      <c r="A49" t="str">
        <f>IF('DADOS CSV'!J50="","",'DADOS CSV'!J50)</f>
        <v/>
      </c>
      <c r="B49" s="30" t="str">
        <f>IF('DADOS CSV'!N50="","",'DADOS CSV'!N50)</f>
        <v/>
      </c>
      <c r="C49" t="str">
        <f t="shared" si="5"/>
        <v/>
      </c>
      <c r="D49" t="str">
        <f t="shared" si="6"/>
        <v/>
      </c>
      <c r="E49" s="30" t="str">
        <f>IF('DADOS CSV'!O50="","",'DADOS CSV'!O50)</f>
        <v/>
      </c>
      <c r="F49" t="str">
        <f t="shared" si="7"/>
        <v/>
      </c>
      <c r="G49" t="str">
        <f t="shared" si="8"/>
        <v/>
      </c>
      <c r="CT49" t="str">
        <f t="shared" si="9"/>
        <v/>
      </c>
      <c r="CU49" s="33" t="str">
        <f>IFERROR(VLOOKUP(Procv!R49,Procv!$C$1:$D$21,2,0),"")</f>
        <v/>
      </c>
    </row>
    <row r="50" spans="1:99" x14ac:dyDescent="0.25">
      <c r="A50" t="str">
        <f>IF('DADOS CSV'!J51="","",'DADOS CSV'!J51)</f>
        <v/>
      </c>
      <c r="B50" s="30" t="str">
        <f>IF('DADOS CSV'!N51="","",'DADOS CSV'!N51)</f>
        <v/>
      </c>
      <c r="C50" t="str">
        <f t="shared" si="5"/>
        <v/>
      </c>
      <c r="D50" t="str">
        <f t="shared" si="6"/>
        <v/>
      </c>
      <c r="E50" s="30" t="str">
        <f>IF('DADOS CSV'!O51="","",'DADOS CSV'!O51)</f>
        <v/>
      </c>
      <c r="F50" t="str">
        <f t="shared" si="7"/>
        <v/>
      </c>
      <c r="G50" t="str">
        <f t="shared" si="8"/>
        <v/>
      </c>
      <c r="CT50" t="str">
        <f t="shared" si="9"/>
        <v/>
      </c>
      <c r="CU50" s="33" t="str">
        <f>IFERROR(VLOOKUP(Procv!R50,Procv!$C$1:$D$21,2,0),"")</f>
        <v/>
      </c>
    </row>
    <row r="51" spans="1:99" x14ac:dyDescent="0.25">
      <c r="A51" t="str">
        <f>IF('DADOS CSV'!J52="","",'DADOS CSV'!J52)</f>
        <v/>
      </c>
      <c r="B51" s="30" t="str">
        <f>IF('DADOS CSV'!N52="","",'DADOS CSV'!N52)</f>
        <v/>
      </c>
      <c r="C51" t="str">
        <f t="shared" si="5"/>
        <v/>
      </c>
      <c r="D51" t="str">
        <f t="shared" si="6"/>
        <v/>
      </c>
      <c r="E51" s="30" t="str">
        <f>IF('DADOS CSV'!O52="","",'DADOS CSV'!O52)</f>
        <v/>
      </c>
      <c r="F51" t="str">
        <f t="shared" si="7"/>
        <v/>
      </c>
      <c r="G51" t="str">
        <f t="shared" si="8"/>
        <v/>
      </c>
      <c r="CT51" t="str">
        <f t="shared" si="9"/>
        <v/>
      </c>
      <c r="CU51" s="33" t="str">
        <f>IFERROR(VLOOKUP(Procv!R51,Procv!$C$1:$D$21,2,0),"")</f>
        <v/>
      </c>
    </row>
    <row r="52" spans="1:99" x14ac:dyDescent="0.25">
      <c r="A52" t="str">
        <f>IF('DADOS CSV'!J53="","",'DADOS CSV'!J53)</f>
        <v/>
      </c>
      <c r="B52" s="30" t="str">
        <f>IF('DADOS CSV'!N53="","",'DADOS CSV'!N53)</f>
        <v/>
      </c>
      <c r="C52" t="str">
        <f t="shared" si="5"/>
        <v/>
      </c>
      <c r="D52" t="str">
        <f t="shared" si="6"/>
        <v/>
      </c>
      <c r="E52" s="30" t="str">
        <f>IF('DADOS CSV'!O53="","",'DADOS CSV'!O53)</f>
        <v/>
      </c>
      <c r="F52" t="str">
        <f t="shared" si="7"/>
        <v/>
      </c>
      <c r="G52" t="str">
        <f t="shared" si="8"/>
        <v/>
      </c>
      <c r="CT52" t="str">
        <f t="shared" si="9"/>
        <v/>
      </c>
      <c r="CU52" s="33" t="str">
        <f>IFERROR(VLOOKUP(Procv!R52,Procv!$C$1:$D$21,2,0),"")</f>
        <v/>
      </c>
    </row>
    <row r="53" spans="1:99" x14ac:dyDescent="0.25">
      <c r="A53" t="str">
        <f>IF('DADOS CSV'!J54="","",'DADOS CSV'!J54)</f>
        <v/>
      </c>
      <c r="B53" s="30" t="str">
        <f>IF('DADOS CSV'!N54="","",'DADOS CSV'!N54)</f>
        <v/>
      </c>
      <c r="C53" t="str">
        <f t="shared" si="5"/>
        <v/>
      </c>
      <c r="D53" t="str">
        <f t="shared" si="6"/>
        <v/>
      </c>
      <c r="E53" s="30" t="str">
        <f>IF('DADOS CSV'!O54="","",'DADOS CSV'!O54)</f>
        <v/>
      </c>
      <c r="F53" t="str">
        <f t="shared" si="7"/>
        <v/>
      </c>
      <c r="G53" t="str">
        <f t="shared" si="8"/>
        <v/>
      </c>
      <c r="CT53" t="str">
        <f t="shared" si="9"/>
        <v/>
      </c>
      <c r="CU53" s="33" t="str">
        <f>IFERROR(VLOOKUP(Procv!R53,Procv!$C$1:$D$21,2,0),"")</f>
        <v/>
      </c>
    </row>
    <row r="54" spans="1:99" x14ac:dyDescent="0.25">
      <c r="A54" t="str">
        <f>IF('DADOS CSV'!J55="","",'DADOS CSV'!J55)</f>
        <v/>
      </c>
      <c r="B54" s="30" t="str">
        <f>IF('DADOS CSV'!N55="","",'DADOS CSV'!N55)</f>
        <v/>
      </c>
      <c r="C54" t="str">
        <f t="shared" si="5"/>
        <v/>
      </c>
      <c r="D54" t="str">
        <f t="shared" si="6"/>
        <v/>
      </c>
      <c r="E54" s="30" t="str">
        <f>IF('DADOS CSV'!O55="","",'DADOS CSV'!O55)</f>
        <v/>
      </c>
      <c r="F54" t="str">
        <f t="shared" si="7"/>
        <v/>
      </c>
      <c r="G54" t="str">
        <f t="shared" si="8"/>
        <v/>
      </c>
      <c r="CT54" t="str">
        <f t="shared" si="9"/>
        <v/>
      </c>
      <c r="CU54" s="33" t="str">
        <f>IFERROR(VLOOKUP(Procv!R54,Procv!$C$1:$D$21,2,0),"")</f>
        <v/>
      </c>
    </row>
    <row r="55" spans="1:99" x14ac:dyDescent="0.25">
      <c r="A55" t="str">
        <f>IF('DADOS CSV'!J56="","",'DADOS CSV'!J56)</f>
        <v/>
      </c>
      <c r="B55" s="30" t="str">
        <f>IF('DADOS CSV'!N56="","",'DADOS CSV'!N56)</f>
        <v/>
      </c>
      <c r="C55" t="str">
        <f t="shared" si="5"/>
        <v/>
      </c>
      <c r="D55" t="str">
        <f t="shared" si="6"/>
        <v/>
      </c>
      <c r="E55" s="30" t="str">
        <f>IF('DADOS CSV'!O56="","",'DADOS CSV'!O56)</f>
        <v/>
      </c>
      <c r="F55" t="str">
        <f t="shared" si="7"/>
        <v/>
      </c>
      <c r="G55" t="str">
        <f t="shared" si="8"/>
        <v/>
      </c>
      <c r="CT55" t="str">
        <f t="shared" si="9"/>
        <v/>
      </c>
      <c r="CU55" s="33" t="str">
        <f>IFERROR(VLOOKUP(Procv!R55,Procv!$C$1:$D$21,2,0),"")</f>
        <v/>
      </c>
    </row>
    <row r="56" spans="1:99" x14ac:dyDescent="0.25">
      <c r="A56" t="str">
        <f>IF('DADOS CSV'!J57="","",'DADOS CSV'!J57)</f>
        <v/>
      </c>
      <c r="B56" s="30" t="str">
        <f>IF('DADOS CSV'!N57="","",'DADOS CSV'!N57)</f>
        <v/>
      </c>
      <c r="C56" t="str">
        <f t="shared" si="5"/>
        <v/>
      </c>
      <c r="D56" t="str">
        <f t="shared" si="6"/>
        <v/>
      </c>
      <c r="E56" s="30" t="str">
        <f>IF('DADOS CSV'!O57="","",'DADOS CSV'!O57)</f>
        <v/>
      </c>
      <c r="F56" t="str">
        <f t="shared" si="7"/>
        <v/>
      </c>
      <c r="G56" t="str">
        <f t="shared" si="8"/>
        <v/>
      </c>
      <c r="CT56" t="str">
        <f t="shared" si="9"/>
        <v/>
      </c>
      <c r="CU56" s="33" t="str">
        <f>IFERROR(VLOOKUP(Procv!R56,Procv!$C$1:$D$21,2,0),"")</f>
        <v/>
      </c>
    </row>
    <row r="57" spans="1:99" x14ac:dyDescent="0.25">
      <c r="A57" t="str">
        <f>IF('DADOS CSV'!J58="","",'DADOS CSV'!J58)</f>
        <v/>
      </c>
      <c r="B57" s="30" t="str">
        <f>IF('DADOS CSV'!N58="","",'DADOS CSV'!N58)</f>
        <v/>
      </c>
      <c r="C57" t="str">
        <f t="shared" si="5"/>
        <v/>
      </c>
      <c r="D57" t="str">
        <f t="shared" si="6"/>
        <v/>
      </c>
      <c r="E57" s="30" t="str">
        <f>IF('DADOS CSV'!O58="","",'DADOS CSV'!O58)</f>
        <v/>
      </c>
      <c r="F57" t="str">
        <f t="shared" si="7"/>
        <v/>
      </c>
      <c r="G57" t="str">
        <f t="shared" si="8"/>
        <v/>
      </c>
      <c r="CT57" t="str">
        <f t="shared" si="9"/>
        <v/>
      </c>
      <c r="CU57" s="33" t="str">
        <f>IFERROR(VLOOKUP(Procv!R57,Procv!$C$1:$D$21,2,0),"")</f>
        <v/>
      </c>
    </row>
    <row r="58" spans="1:99" x14ac:dyDescent="0.25">
      <c r="A58" t="str">
        <f>IF('DADOS CSV'!J59="","",'DADOS CSV'!J59)</f>
        <v/>
      </c>
      <c r="B58" s="30" t="str">
        <f>IF('DADOS CSV'!N59="","",'DADOS CSV'!N59)</f>
        <v/>
      </c>
      <c r="C58" t="str">
        <f t="shared" si="5"/>
        <v/>
      </c>
      <c r="D58" t="str">
        <f t="shared" si="6"/>
        <v/>
      </c>
      <c r="E58" s="30" t="str">
        <f>IF('DADOS CSV'!O59="","",'DADOS CSV'!O59)</f>
        <v/>
      </c>
      <c r="F58" t="str">
        <f t="shared" si="7"/>
        <v/>
      </c>
      <c r="G58" t="str">
        <f t="shared" si="8"/>
        <v/>
      </c>
      <c r="CT58" t="str">
        <f t="shared" si="9"/>
        <v/>
      </c>
      <c r="CU58" s="33" t="str">
        <f>IFERROR(VLOOKUP(Procv!R58,Procv!$C$1:$D$21,2,0),"")</f>
        <v/>
      </c>
    </row>
    <row r="59" spans="1:99" x14ac:dyDescent="0.25">
      <c r="A59" t="str">
        <f>IF('DADOS CSV'!J60="","",'DADOS CSV'!J60)</f>
        <v/>
      </c>
      <c r="B59" s="30" t="str">
        <f>IF('DADOS CSV'!N60="","",'DADOS CSV'!N60)</f>
        <v/>
      </c>
      <c r="C59" t="str">
        <f t="shared" si="5"/>
        <v/>
      </c>
      <c r="D59" t="str">
        <f t="shared" si="6"/>
        <v/>
      </c>
      <c r="E59" s="30" t="str">
        <f>IF('DADOS CSV'!O60="","",'DADOS CSV'!O60)</f>
        <v/>
      </c>
      <c r="F59" t="str">
        <f t="shared" si="7"/>
        <v/>
      </c>
      <c r="G59" t="str">
        <f t="shared" si="8"/>
        <v/>
      </c>
      <c r="CT59" t="str">
        <f t="shared" si="9"/>
        <v/>
      </c>
      <c r="CU59" s="33" t="str">
        <f>IFERROR(VLOOKUP(Procv!R59,Procv!$C$1:$D$21,2,0),"")</f>
        <v/>
      </c>
    </row>
    <row r="60" spans="1:99" x14ac:dyDescent="0.25">
      <c r="A60" t="str">
        <f>IF('DADOS CSV'!J61="","",'DADOS CSV'!J61)</f>
        <v/>
      </c>
      <c r="B60" s="30" t="str">
        <f>IF('DADOS CSV'!N61="","",'DADOS CSV'!N61)</f>
        <v/>
      </c>
      <c r="C60" t="str">
        <f t="shared" si="5"/>
        <v/>
      </c>
      <c r="D60" t="str">
        <f t="shared" si="6"/>
        <v/>
      </c>
      <c r="E60" s="30" t="str">
        <f>IF('DADOS CSV'!O61="","",'DADOS CSV'!O61)</f>
        <v/>
      </c>
      <c r="F60" t="str">
        <f t="shared" si="7"/>
        <v/>
      </c>
      <c r="G60" t="str">
        <f t="shared" si="8"/>
        <v/>
      </c>
      <c r="CT60" t="str">
        <f t="shared" si="9"/>
        <v/>
      </c>
      <c r="CU60" s="33" t="str">
        <f>IFERROR(VLOOKUP(Procv!R60,Procv!$C$1:$D$21,2,0),"")</f>
        <v/>
      </c>
    </row>
    <row r="61" spans="1:99" x14ac:dyDescent="0.25">
      <c r="A61" t="str">
        <f>IF('DADOS CSV'!J62="","",'DADOS CSV'!J62)</f>
        <v/>
      </c>
      <c r="B61" s="30" t="str">
        <f>IF('DADOS CSV'!N62="","",'DADOS CSV'!N62)</f>
        <v/>
      </c>
      <c r="C61" t="str">
        <f t="shared" si="5"/>
        <v/>
      </c>
      <c r="D61" t="str">
        <f t="shared" si="6"/>
        <v/>
      </c>
      <c r="E61" s="30" t="str">
        <f>IF('DADOS CSV'!O62="","",'DADOS CSV'!O62)</f>
        <v/>
      </c>
      <c r="F61" t="str">
        <f t="shared" si="7"/>
        <v/>
      </c>
      <c r="G61" t="str">
        <f t="shared" si="8"/>
        <v/>
      </c>
      <c r="CT61" t="str">
        <f t="shared" si="9"/>
        <v/>
      </c>
      <c r="CU61" s="33" t="str">
        <f>IFERROR(VLOOKUP(Procv!R61,Procv!$C$1:$D$21,2,0),"")</f>
        <v/>
      </c>
    </row>
    <row r="62" spans="1:99" x14ac:dyDescent="0.25">
      <c r="A62" t="str">
        <f>IF('DADOS CSV'!J63="","",'DADOS CSV'!J63)</f>
        <v/>
      </c>
      <c r="B62" s="30" t="str">
        <f>IF('DADOS CSV'!N63="","",'DADOS CSV'!N63)</f>
        <v/>
      </c>
      <c r="C62" t="str">
        <f t="shared" si="5"/>
        <v/>
      </c>
      <c r="D62" t="str">
        <f t="shared" si="6"/>
        <v/>
      </c>
      <c r="E62" s="30" t="str">
        <f>IF('DADOS CSV'!O63="","",'DADOS CSV'!O63)</f>
        <v/>
      </c>
      <c r="F62" t="str">
        <f t="shared" si="7"/>
        <v/>
      </c>
      <c r="G62" t="str">
        <f t="shared" si="8"/>
        <v/>
      </c>
      <c r="CT62" t="str">
        <f t="shared" si="9"/>
        <v/>
      </c>
      <c r="CU62" s="33" t="str">
        <f>IFERROR(VLOOKUP(Procv!R62,Procv!$C$1:$D$21,2,0),"")</f>
        <v/>
      </c>
    </row>
    <row r="63" spans="1:99" x14ac:dyDescent="0.25">
      <c r="A63" t="str">
        <f>IF('DADOS CSV'!J64="","",'DADOS CSV'!J64)</f>
        <v/>
      </c>
      <c r="B63" s="30" t="str">
        <f>IF('DADOS CSV'!N64="","",'DADOS CSV'!N64)</f>
        <v/>
      </c>
      <c r="C63" t="str">
        <f t="shared" si="5"/>
        <v/>
      </c>
      <c r="D63" t="str">
        <f t="shared" si="6"/>
        <v/>
      </c>
      <c r="E63" s="30" t="str">
        <f>IF('DADOS CSV'!O64="","",'DADOS CSV'!O64)</f>
        <v/>
      </c>
      <c r="F63" t="str">
        <f t="shared" si="7"/>
        <v/>
      </c>
      <c r="G63" t="str">
        <f t="shared" si="8"/>
        <v/>
      </c>
      <c r="CT63" t="str">
        <f t="shared" si="9"/>
        <v/>
      </c>
      <c r="CU63" s="33" t="str">
        <f>IFERROR(VLOOKUP(Procv!R63,Procv!$C$1:$D$21,2,0),"")</f>
        <v/>
      </c>
    </row>
    <row r="64" spans="1:99" x14ac:dyDescent="0.25">
      <c r="A64" t="str">
        <f>IF('DADOS CSV'!J65="","",'DADOS CSV'!J65)</f>
        <v/>
      </c>
      <c r="B64" s="30" t="str">
        <f>IF('DADOS CSV'!N65="","",'DADOS CSV'!N65)</f>
        <v/>
      </c>
      <c r="C64" t="str">
        <f t="shared" si="5"/>
        <v/>
      </c>
      <c r="D64" t="str">
        <f t="shared" si="6"/>
        <v/>
      </c>
      <c r="E64" s="30" t="str">
        <f>IF('DADOS CSV'!O65="","",'DADOS CSV'!O65)</f>
        <v/>
      </c>
      <c r="F64" t="str">
        <f t="shared" si="7"/>
        <v/>
      </c>
      <c r="G64" t="str">
        <f t="shared" si="8"/>
        <v/>
      </c>
      <c r="CT64" t="str">
        <f t="shared" si="9"/>
        <v/>
      </c>
      <c r="CU64" s="33" t="str">
        <f>IFERROR(VLOOKUP(Procv!R64,Procv!$C$1:$D$21,2,0),"")</f>
        <v/>
      </c>
    </row>
    <row r="65" spans="1:99" x14ac:dyDescent="0.25">
      <c r="A65" t="str">
        <f>IF('DADOS CSV'!J66="","",'DADOS CSV'!J66)</f>
        <v/>
      </c>
      <c r="B65" s="30" t="str">
        <f>IF('DADOS CSV'!N66="","",'DADOS CSV'!N66)</f>
        <v/>
      </c>
      <c r="C65" t="str">
        <f t="shared" si="5"/>
        <v/>
      </c>
      <c r="D65" t="str">
        <f t="shared" si="6"/>
        <v/>
      </c>
      <c r="E65" s="30" t="str">
        <f>IF('DADOS CSV'!O66="","",'DADOS CSV'!O66)</f>
        <v/>
      </c>
      <c r="F65" t="str">
        <f t="shared" si="7"/>
        <v/>
      </c>
      <c r="G65" t="str">
        <f t="shared" si="8"/>
        <v/>
      </c>
      <c r="CT65" t="str">
        <f t="shared" si="9"/>
        <v/>
      </c>
      <c r="CU65" s="33" t="str">
        <f>IFERROR(VLOOKUP(Procv!R65,Procv!$C$1:$D$21,2,0),"")</f>
        <v/>
      </c>
    </row>
    <row r="66" spans="1:99" x14ac:dyDescent="0.25">
      <c r="A66" t="str">
        <f>IF('DADOS CSV'!J67="","",'DADOS CSV'!J67)</f>
        <v/>
      </c>
      <c r="B66" s="30" t="str">
        <f>IF('DADOS CSV'!N67="","",'DADOS CSV'!N67)</f>
        <v/>
      </c>
      <c r="C66" t="str">
        <f t="shared" si="5"/>
        <v/>
      </c>
      <c r="D66" t="str">
        <f t="shared" si="6"/>
        <v/>
      </c>
      <c r="E66" s="30" t="str">
        <f>IF('DADOS CSV'!O67="","",'DADOS CSV'!O67)</f>
        <v/>
      </c>
      <c r="F66" t="str">
        <f t="shared" si="7"/>
        <v/>
      </c>
      <c r="G66" t="str">
        <f t="shared" si="8"/>
        <v/>
      </c>
      <c r="CT66" t="str">
        <f t="shared" si="9"/>
        <v/>
      </c>
      <c r="CU66" s="33" t="str">
        <f>IFERROR(VLOOKUP(Procv!R66,Procv!$C$1:$D$21,2,0),"")</f>
        <v/>
      </c>
    </row>
    <row r="67" spans="1:99" x14ac:dyDescent="0.25">
      <c r="A67" t="str">
        <f>IF('DADOS CSV'!J68="","",'DADOS CSV'!J68)</f>
        <v/>
      </c>
      <c r="B67" s="30" t="str">
        <f>IF('DADOS CSV'!N68="","",'DADOS CSV'!N68)</f>
        <v/>
      </c>
      <c r="C67" t="str">
        <f t="shared" ref="C67:C98" si="10">IF(A67="","",$C$2)</f>
        <v/>
      </c>
      <c r="D67" t="str">
        <f t="shared" ref="D67:D98" si="11">IF(A67="","",$D$2)</f>
        <v/>
      </c>
      <c r="E67" s="30" t="str">
        <f>IF('DADOS CSV'!O68="","",'DADOS CSV'!O68)</f>
        <v/>
      </c>
      <c r="F67" t="str">
        <f t="shared" ref="F67:F98" si="12">IF(A67="","",$F$2)</f>
        <v/>
      </c>
      <c r="G67" t="str">
        <f t="shared" ref="G67:G98" si="13">IF(A67="","",$G$2)</f>
        <v/>
      </c>
      <c r="CT67" t="str">
        <f t="shared" ref="CT67:CT98" si="14">IF(A67="","",$CT$2)</f>
        <v/>
      </c>
      <c r="CU67" s="33" t="str">
        <f>IFERROR(VLOOKUP(Procv!R67,Procv!$C$1:$D$21,2,0),"")</f>
        <v/>
      </c>
    </row>
    <row r="68" spans="1:99" x14ac:dyDescent="0.25">
      <c r="A68" t="str">
        <f>IF('DADOS CSV'!J69="","",'DADOS CSV'!J69)</f>
        <v/>
      </c>
      <c r="B68" s="30" t="str">
        <f>IF('DADOS CSV'!N69="","",'DADOS CSV'!N69)</f>
        <v/>
      </c>
      <c r="C68" t="str">
        <f t="shared" si="10"/>
        <v/>
      </c>
      <c r="D68" t="str">
        <f t="shared" si="11"/>
        <v/>
      </c>
      <c r="E68" s="30" t="str">
        <f>IF('DADOS CSV'!O69="","",'DADOS CSV'!O69)</f>
        <v/>
      </c>
      <c r="F68" t="str">
        <f t="shared" si="12"/>
        <v/>
      </c>
      <c r="G68" t="str">
        <f t="shared" si="13"/>
        <v/>
      </c>
      <c r="CT68" t="str">
        <f t="shared" si="14"/>
        <v/>
      </c>
      <c r="CU68" s="33" t="str">
        <f>IFERROR(VLOOKUP(Procv!R68,Procv!$C$1:$D$21,2,0),"")</f>
        <v/>
      </c>
    </row>
    <row r="69" spans="1:99" x14ac:dyDescent="0.25">
      <c r="A69" t="str">
        <f>IF('DADOS CSV'!J70="","",'DADOS CSV'!J70)</f>
        <v/>
      </c>
      <c r="B69" s="30" t="str">
        <f>IF('DADOS CSV'!N70="","",'DADOS CSV'!N70)</f>
        <v/>
      </c>
      <c r="C69" t="str">
        <f t="shared" si="10"/>
        <v/>
      </c>
      <c r="D69" t="str">
        <f t="shared" si="11"/>
        <v/>
      </c>
      <c r="E69" s="30" t="str">
        <f>IF('DADOS CSV'!O70="","",'DADOS CSV'!O70)</f>
        <v/>
      </c>
      <c r="F69" t="str">
        <f t="shared" si="12"/>
        <v/>
      </c>
      <c r="G69" t="str">
        <f t="shared" si="13"/>
        <v/>
      </c>
      <c r="CT69" t="str">
        <f t="shared" si="14"/>
        <v/>
      </c>
      <c r="CU69" s="33" t="str">
        <f>IFERROR(VLOOKUP(Procv!R69,Procv!$C$1:$D$21,2,0),"")</f>
        <v/>
      </c>
    </row>
    <row r="70" spans="1:99" x14ac:dyDescent="0.25">
      <c r="A70" t="str">
        <f>IF('DADOS CSV'!J71="","",'DADOS CSV'!J71)</f>
        <v/>
      </c>
      <c r="B70" s="30" t="str">
        <f>IF('DADOS CSV'!N71="","",'DADOS CSV'!N71)</f>
        <v/>
      </c>
      <c r="C70" t="str">
        <f t="shared" si="10"/>
        <v/>
      </c>
      <c r="D70" t="str">
        <f t="shared" si="11"/>
        <v/>
      </c>
      <c r="E70" s="30" t="str">
        <f>IF('DADOS CSV'!O71="","",'DADOS CSV'!O71)</f>
        <v/>
      </c>
      <c r="F70" t="str">
        <f t="shared" si="12"/>
        <v/>
      </c>
      <c r="G70" t="str">
        <f t="shared" si="13"/>
        <v/>
      </c>
      <c r="CT70" t="str">
        <f t="shared" si="14"/>
        <v/>
      </c>
      <c r="CU70" s="33" t="str">
        <f>IFERROR(VLOOKUP(Procv!R70,Procv!$C$1:$D$21,2,0),"")</f>
        <v/>
      </c>
    </row>
    <row r="71" spans="1:99" x14ac:dyDescent="0.25">
      <c r="A71" t="str">
        <f>IF('DADOS CSV'!J72="","",'DADOS CSV'!J72)</f>
        <v/>
      </c>
      <c r="B71" s="30" t="str">
        <f>IF('DADOS CSV'!N72="","",'DADOS CSV'!N72)</f>
        <v/>
      </c>
      <c r="C71" t="str">
        <f t="shared" si="10"/>
        <v/>
      </c>
      <c r="D71" t="str">
        <f t="shared" si="11"/>
        <v/>
      </c>
      <c r="E71" s="30" t="str">
        <f>IF('DADOS CSV'!O72="","",'DADOS CSV'!O72)</f>
        <v/>
      </c>
      <c r="F71" t="str">
        <f t="shared" si="12"/>
        <v/>
      </c>
      <c r="G71" t="str">
        <f t="shared" si="13"/>
        <v/>
      </c>
      <c r="CT71" t="str">
        <f t="shared" si="14"/>
        <v/>
      </c>
      <c r="CU71" s="33" t="str">
        <f>IFERROR(VLOOKUP(Procv!R71,Procv!$C$1:$D$21,2,0),"")</f>
        <v/>
      </c>
    </row>
    <row r="72" spans="1:99" x14ac:dyDescent="0.25">
      <c r="A72" t="str">
        <f>IF('DADOS CSV'!J73="","",'DADOS CSV'!J73)</f>
        <v/>
      </c>
      <c r="B72" s="30" t="str">
        <f>IF('DADOS CSV'!N73="","",'DADOS CSV'!N73)</f>
        <v/>
      </c>
      <c r="C72" t="str">
        <f t="shared" si="10"/>
        <v/>
      </c>
      <c r="D72" t="str">
        <f t="shared" si="11"/>
        <v/>
      </c>
      <c r="E72" s="30" t="str">
        <f>IF('DADOS CSV'!O73="","",'DADOS CSV'!O73)</f>
        <v/>
      </c>
      <c r="F72" t="str">
        <f t="shared" si="12"/>
        <v/>
      </c>
      <c r="G72" t="str">
        <f t="shared" si="13"/>
        <v/>
      </c>
      <c r="CT72" t="str">
        <f t="shared" si="14"/>
        <v/>
      </c>
      <c r="CU72" s="33" t="str">
        <f>IFERROR(VLOOKUP(Procv!R72,Procv!$C$1:$D$21,2,0),"")</f>
        <v/>
      </c>
    </row>
    <row r="73" spans="1:99" x14ac:dyDescent="0.25">
      <c r="A73" t="str">
        <f>IF('DADOS CSV'!J74="","",'DADOS CSV'!J74)</f>
        <v/>
      </c>
      <c r="B73" s="30" t="str">
        <f>IF('DADOS CSV'!N74="","",'DADOS CSV'!N74)</f>
        <v/>
      </c>
      <c r="C73" t="str">
        <f t="shared" si="10"/>
        <v/>
      </c>
      <c r="D73" t="str">
        <f t="shared" si="11"/>
        <v/>
      </c>
      <c r="E73" s="30" t="str">
        <f>IF('DADOS CSV'!O74="","",'DADOS CSV'!O74)</f>
        <v/>
      </c>
      <c r="F73" t="str">
        <f t="shared" si="12"/>
        <v/>
      </c>
      <c r="G73" t="str">
        <f t="shared" si="13"/>
        <v/>
      </c>
      <c r="CT73" t="str">
        <f t="shared" si="14"/>
        <v/>
      </c>
      <c r="CU73" s="33" t="str">
        <f>IFERROR(VLOOKUP(Procv!R73,Procv!$C$1:$D$21,2,0),"")</f>
        <v/>
      </c>
    </row>
    <row r="74" spans="1:99" x14ac:dyDescent="0.25">
      <c r="A74" t="str">
        <f>IF('DADOS CSV'!J75="","",'DADOS CSV'!J75)</f>
        <v/>
      </c>
      <c r="B74" s="30" t="str">
        <f>IF('DADOS CSV'!N75="","",'DADOS CSV'!N75)</f>
        <v/>
      </c>
      <c r="C74" t="str">
        <f t="shared" si="10"/>
        <v/>
      </c>
      <c r="D74" t="str">
        <f t="shared" si="11"/>
        <v/>
      </c>
      <c r="E74" s="30" t="str">
        <f>IF('DADOS CSV'!O75="","",'DADOS CSV'!O75)</f>
        <v/>
      </c>
      <c r="F74" t="str">
        <f t="shared" si="12"/>
        <v/>
      </c>
      <c r="G74" t="str">
        <f t="shared" si="13"/>
        <v/>
      </c>
      <c r="CT74" t="str">
        <f t="shared" si="14"/>
        <v/>
      </c>
      <c r="CU74" s="33" t="str">
        <f>IFERROR(VLOOKUP(Procv!R74,Procv!$C$1:$D$21,2,0),"")</f>
        <v/>
      </c>
    </row>
    <row r="75" spans="1:99" x14ac:dyDescent="0.25">
      <c r="A75" t="str">
        <f>IF('DADOS CSV'!J76="","",'DADOS CSV'!J76)</f>
        <v/>
      </c>
      <c r="B75" s="30" t="str">
        <f>IF('DADOS CSV'!N76="","",'DADOS CSV'!N76)</f>
        <v/>
      </c>
      <c r="C75" t="str">
        <f t="shared" si="10"/>
        <v/>
      </c>
      <c r="D75" t="str">
        <f t="shared" si="11"/>
        <v/>
      </c>
      <c r="E75" s="30" t="str">
        <f>IF('DADOS CSV'!O76="","",'DADOS CSV'!O76)</f>
        <v/>
      </c>
      <c r="F75" t="str">
        <f t="shared" si="12"/>
        <v/>
      </c>
      <c r="G75" t="str">
        <f t="shared" si="13"/>
        <v/>
      </c>
      <c r="CT75" t="str">
        <f t="shared" si="14"/>
        <v/>
      </c>
      <c r="CU75" s="33" t="str">
        <f>IFERROR(VLOOKUP(Procv!R75,Procv!$C$1:$D$21,2,0),"")</f>
        <v/>
      </c>
    </row>
    <row r="76" spans="1:99" x14ac:dyDescent="0.25">
      <c r="A76" t="str">
        <f>IF('DADOS CSV'!J77="","",'DADOS CSV'!J77)</f>
        <v/>
      </c>
      <c r="B76" s="30" t="str">
        <f>IF('DADOS CSV'!N77="","",'DADOS CSV'!N77)</f>
        <v/>
      </c>
      <c r="C76" t="str">
        <f t="shared" si="10"/>
        <v/>
      </c>
      <c r="D76" t="str">
        <f t="shared" si="11"/>
        <v/>
      </c>
      <c r="E76" s="30" t="str">
        <f>IF('DADOS CSV'!O77="","",'DADOS CSV'!O77)</f>
        <v/>
      </c>
      <c r="F76" t="str">
        <f t="shared" si="12"/>
        <v/>
      </c>
      <c r="G76" t="str">
        <f t="shared" si="13"/>
        <v/>
      </c>
      <c r="CT76" t="str">
        <f t="shared" si="14"/>
        <v/>
      </c>
      <c r="CU76" s="33" t="str">
        <f>IFERROR(VLOOKUP(Procv!R76,Procv!$C$1:$D$21,2,0),"")</f>
        <v/>
      </c>
    </row>
    <row r="77" spans="1:99" x14ac:dyDescent="0.25">
      <c r="A77" t="str">
        <f>IF('DADOS CSV'!J78="","",'DADOS CSV'!J78)</f>
        <v/>
      </c>
      <c r="B77" s="30" t="str">
        <f>IF('DADOS CSV'!N78="","",'DADOS CSV'!N78)</f>
        <v/>
      </c>
      <c r="C77" t="str">
        <f t="shared" si="10"/>
        <v/>
      </c>
      <c r="D77" t="str">
        <f t="shared" si="11"/>
        <v/>
      </c>
      <c r="E77" s="30" t="str">
        <f>IF('DADOS CSV'!O78="","",'DADOS CSV'!O78)</f>
        <v/>
      </c>
      <c r="F77" t="str">
        <f t="shared" si="12"/>
        <v/>
      </c>
      <c r="G77" t="str">
        <f t="shared" si="13"/>
        <v/>
      </c>
      <c r="CT77" t="str">
        <f t="shared" si="14"/>
        <v/>
      </c>
      <c r="CU77" s="33" t="str">
        <f>IFERROR(VLOOKUP(Procv!R77,Procv!$C$1:$D$21,2,0),"")</f>
        <v/>
      </c>
    </row>
    <row r="78" spans="1:99" x14ac:dyDescent="0.25">
      <c r="A78" t="str">
        <f>IF('DADOS CSV'!J79="","",'DADOS CSV'!J79)</f>
        <v/>
      </c>
      <c r="B78" s="30" t="str">
        <f>IF('DADOS CSV'!N79="","",'DADOS CSV'!N79)</f>
        <v/>
      </c>
      <c r="C78" t="str">
        <f t="shared" si="10"/>
        <v/>
      </c>
      <c r="D78" t="str">
        <f t="shared" si="11"/>
        <v/>
      </c>
      <c r="E78" s="30" t="str">
        <f>IF('DADOS CSV'!O79="","",'DADOS CSV'!O79)</f>
        <v/>
      </c>
      <c r="F78" t="str">
        <f t="shared" si="12"/>
        <v/>
      </c>
      <c r="G78" t="str">
        <f t="shared" si="13"/>
        <v/>
      </c>
      <c r="CT78" t="str">
        <f t="shared" si="14"/>
        <v/>
      </c>
      <c r="CU78" s="33" t="str">
        <f>IFERROR(VLOOKUP(Procv!R78,Procv!$C$1:$D$21,2,0),"")</f>
        <v/>
      </c>
    </row>
    <row r="79" spans="1:99" x14ac:dyDescent="0.25">
      <c r="A79" t="str">
        <f>IF('DADOS CSV'!J80="","",'DADOS CSV'!J80)</f>
        <v/>
      </c>
      <c r="B79" s="30" t="str">
        <f>IF('DADOS CSV'!N80="","",'DADOS CSV'!N80)</f>
        <v/>
      </c>
      <c r="C79" t="str">
        <f t="shared" si="10"/>
        <v/>
      </c>
      <c r="D79" t="str">
        <f t="shared" si="11"/>
        <v/>
      </c>
      <c r="E79" s="30" t="str">
        <f>IF('DADOS CSV'!O80="","",'DADOS CSV'!O80)</f>
        <v/>
      </c>
      <c r="F79" t="str">
        <f t="shared" si="12"/>
        <v/>
      </c>
      <c r="G79" t="str">
        <f t="shared" si="13"/>
        <v/>
      </c>
      <c r="CT79" t="str">
        <f t="shared" si="14"/>
        <v/>
      </c>
      <c r="CU79" s="33" t="str">
        <f>IFERROR(VLOOKUP(Procv!R79,Procv!$C$1:$D$21,2,0),"")</f>
        <v/>
      </c>
    </row>
    <row r="80" spans="1:99" x14ac:dyDescent="0.25">
      <c r="A80" t="str">
        <f>IF('DADOS CSV'!J81="","",'DADOS CSV'!J81)</f>
        <v/>
      </c>
      <c r="B80" s="30" t="str">
        <f>IF('DADOS CSV'!N81="","",'DADOS CSV'!N81)</f>
        <v/>
      </c>
      <c r="C80" t="str">
        <f t="shared" si="10"/>
        <v/>
      </c>
      <c r="D80" t="str">
        <f t="shared" si="11"/>
        <v/>
      </c>
      <c r="E80" s="30" t="str">
        <f>IF('DADOS CSV'!O81="","",'DADOS CSV'!O81)</f>
        <v/>
      </c>
      <c r="F80" t="str">
        <f t="shared" si="12"/>
        <v/>
      </c>
      <c r="G80" t="str">
        <f t="shared" si="13"/>
        <v/>
      </c>
      <c r="CT80" t="str">
        <f t="shared" si="14"/>
        <v/>
      </c>
      <c r="CU80" s="33" t="str">
        <f>IFERROR(VLOOKUP(Procv!R80,Procv!$C$1:$D$21,2,0),"")</f>
        <v/>
      </c>
    </row>
    <row r="81" spans="1:99" x14ac:dyDescent="0.25">
      <c r="A81" t="str">
        <f>IF('DADOS CSV'!J82="","",'DADOS CSV'!J82)</f>
        <v/>
      </c>
      <c r="B81" s="30" t="str">
        <f>IF('DADOS CSV'!N82="","",'DADOS CSV'!N82)</f>
        <v/>
      </c>
      <c r="C81" t="str">
        <f t="shared" si="10"/>
        <v/>
      </c>
      <c r="D81" t="str">
        <f t="shared" si="11"/>
        <v/>
      </c>
      <c r="E81" s="30" t="str">
        <f>IF('DADOS CSV'!O82="","",'DADOS CSV'!O82)</f>
        <v/>
      </c>
      <c r="F81" t="str">
        <f t="shared" si="12"/>
        <v/>
      </c>
      <c r="G81" t="str">
        <f t="shared" si="13"/>
        <v/>
      </c>
      <c r="CT81" t="str">
        <f t="shared" si="14"/>
        <v/>
      </c>
      <c r="CU81" s="33" t="str">
        <f>IFERROR(VLOOKUP(Procv!R81,Procv!$C$1:$D$21,2,0),"")</f>
        <v/>
      </c>
    </row>
    <row r="82" spans="1:99" x14ac:dyDescent="0.25">
      <c r="A82" t="str">
        <f>IF('DADOS CSV'!J83="","",'DADOS CSV'!J83)</f>
        <v/>
      </c>
      <c r="B82" s="30" t="str">
        <f>IF('DADOS CSV'!N83="","",'DADOS CSV'!N83)</f>
        <v/>
      </c>
      <c r="C82" t="str">
        <f t="shared" si="10"/>
        <v/>
      </c>
      <c r="D82" t="str">
        <f t="shared" si="11"/>
        <v/>
      </c>
      <c r="E82" s="30" t="str">
        <f>IF('DADOS CSV'!O83="","",'DADOS CSV'!O83)</f>
        <v/>
      </c>
      <c r="F82" t="str">
        <f t="shared" si="12"/>
        <v/>
      </c>
      <c r="G82" t="str">
        <f t="shared" si="13"/>
        <v/>
      </c>
      <c r="CT82" t="str">
        <f t="shared" si="14"/>
        <v/>
      </c>
      <c r="CU82" s="33" t="str">
        <f>IFERROR(VLOOKUP(Procv!R82,Procv!$C$1:$D$21,2,0),"")</f>
        <v/>
      </c>
    </row>
    <row r="83" spans="1:99" x14ac:dyDescent="0.25">
      <c r="A83" t="str">
        <f>IF('DADOS CSV'!J84="","",'DADOS CSV'!J84)</f>
        <v/>
      </c>
      <c r="B83" s="30" t="str">
        <f>IF('DADOS CSV'!N84="","",'DADOS CSV'!N84)</f>
        <v/>
      </c>
      <c r="C83" t="str">
        <f t="shared" si="10"/>
        <v/>
      </c>
      <c r="D83" t="str">
        <f t="shared" si="11"/>
        <v/>
      </c>
      <c r="E83" s="30" t="str">
        <f>IF('DADOS CSV'!O84="","",'DADOS CSV'!O84)</f>
        <v/>
      </c>
      <c r="F83" t="str">
        <f t="shared" si="12"/>
        <v/>
      </c>
      <c r="G83" t="str">
        <f t="shared" si="13"/>
        <v/>
      </c>
      <c r="CT83" t="str">
        <f t="shared" si="14"/>
        <v/>
      </c>
      <c r="CU83" s="33" t="str">
        <f>IFERROR(VLOOKUP(Procv!R83,Procv!$C$1:$D$21,2,0),"")</f>
        <v/>
      </c>
    </row>
    <row r="84" spans="1:99" x14ac:dyDescent="0.25">
      <c r="A84" t="str">
        <f>IF('DADOS CSV'!J85="","",'DADOS CSV'!J85)</f>
        <v/>
      </c>
      <c r="B84" s="30" t="str">
        <f>IF('DADOS CSV'!N85="","",'DADOS CSV'!N85)</f>
        <v/>
      </c>
      <c r="C84" t="str">
        <f t="shared" si="10"/>
        <v/>
      </c>
      <c r="D84" t="str">
        <f t="shared" si="11"/>
        <v/>
      </c>
      <c r="E84" s="30" t="str">
        <f>IF('DADOS CSV'!O85="","",'DADOS CSV'!O85)</f>
        <v/>
      </c>
      <c r="F84" t="str">
        <f t="shared" si="12"/>
        <v/>
      </c>
      <c r="G84" t="str">
        <f t="shared" si="13"/>
        <v/>
      </c>
      <c r="CT84" t="str">
        <f t="shared" si="14"/>
        <v/>
      </c>
      <c r="CU84" s="33" t="str">
        <f>IFERROR(VLOOKUP(Procv!R84,Procv!$C$1:$D$21,2,0),"")</f>
        <v/>
      </c>
    </row>
    <row r="85" spans="1:99" x14ac:dyDescent="0.25">
      <c r="A85" t="str">
        <f>IF('DADOS CSV'!J86="","",'DADOS CSV'!J86)</f>
        <v/>
      </c>
      <c r="B85" s="30" t="str">
        <f>IF('DADOS CSV'!N86="","",'DADOS CSV'!N86)</f>
        <v/>
      </c>
      <c r="C85" t="str">
        <f t="shared" si="10"/>
        <v/>
      </c>
      <c r="D85" t="str">
        <f t="shared" si="11"/>
        <v/>
      </c>
      <c r="E85" s="30" t="str">
        <f>IF('DADOS CSV'!O86="","",'DADOS CSV'!O86)</f>
        <v/>
      </c>
      <c r="F85" t="str">
        <f t="shared" si="12"/>
        <v/>
      </c>
      <c r="G85" t="str">
        <f t="shared" si="13"/>
        <v/>
      </c>
      <c r="CT85" t="str">
        <f t="shared" si="14"/>
        <v/>
      </c>
      <c r="CU85" s="33" t="str">
        <f>IFERROR(VLOOKUP(Procv!R85,Procv!$C$1:$D$21,2,0),"")</f>
        <v/>
      </c>
    </row>
    <row r="86" spans="1:99" x14ac:dyDescent="0.25">
      <c r="A86" t="str">
        <f>IF('DADOS CSV'!J87="","",'DADOS CSV'!J87)</f>
        <v/>
      </c>
      <c r="B86" s="30" t="str">
        <f>IF('DADOS CSV'!N87="","",'DADOS CSV'!N87)</f>
        <v/>
      </c>
      <c r="C86" t="str">
        <f t="shared" si="10"/>
        <v/>
      </c>
      <c r="D86" t="str">
        <f t="shared" si="11"/>
        <v/>
      </c>
      <c r="E86" s="30" t="str">
        <f>IF('DADOS CSV'!O87="","",'DADOS CSV'!O87)</f>
        <v/>
      </c>
      <c r="F86" t="str">
        <f t="shared" si="12"/>
        <v/>
      </c>
      <c r="G86" t="str">
        <f t="shared" si="13"/>
        <v/>
      </c>
      <c r="CT86" t="str">
        <f t="shared" si="14"/>
        <v/>
      </c>
      <c r="CU86" s="33" t="str">
        <f>IFERROR(VLOOKUP(Procv!R86,Procv!$C$1:$D$21,2,0),"")</f>
        <v/>
      </c>
    </row>
    <row r="87" spans="1:99" x14ac:dyDescent="0.25">
      <c r="A87" t="str">
        <f>IF('DADOS CSV'!J88="","",'DADOS CSV'!J88)</f>
        <v/>
      </c>
      <c r="B87" s="30" t="str">
        <f>IF('DADOS CSV'!N88="","",'DADOS CSV'!N88)</f>
        <v/>
      </c>
      <c r="C87" t="str">
        <f t="shared" si="10"/>
        <v/>
      </c>
      <c r="D87" t="str">
        <f t="shared" si="11"/>
        <v/>
      </c>
      <c r="E87" s="30" t="str">
        <f>IF('DADOS CSV'!O88="","",'DADOS CSV'!O88)</f>
        <v/>
      </c>
      <c r="F87" t="str">
        <f t="shared" si="12"/>
        <v/>
      </c>
      <c r="G87" t="str">
        <f t="shared" si="13"/>
        <v/>
      </c>
      <c r="CT87" t="str">
        <f t="shared" si="14"/>
        <v/>
      </c>
      <c r="CU87" s="33" t="str">
        <f>IFERROR(VLOOKUP(Procv!R87,Procv!$C$1:$D$21,2,0),"")</f>
        <v/>
      </c>
    </row>
    <row r="88" spans="1:99" x14ac:dyDescent="0.25">
      <c r="A88" t="str">
        <f>IF('DADOS CSV'!J89="","",'DADOS CSV'!J89)</f>
        <v/>
      </c>
      <c r="B88" s="30" t="str">
        <f>IF('DADOS CSV'!N89="","",'DADOS CSV'!N89)</f>
        <v/>
      </c>
      <c r="C88" t="str">
        <f t="shared" si="10"/>
        <v/>
      </c>
      <c r="D88" t="str">
        <f t="shared" si="11"/>
        <v/>
      </c>
      <c r="E88" s="30" t="str">
        <f>IF('DADOS CSV'!O89="","",'DADOS CSV'!O89)</f>
        <v/>
      </c>
      <c r="F88" t="str">
        <f t="shared" si="12"/>
        <v/>
      </c>
      <c r="G88" t="str">
        <f t="shared" si="13"/>
        <v/>
      </c>
      <c r="CT88" t="str">
        <f t="shared" si="14"/>
        <v/>
      </c>
      <c r="CU88" s="33" t="str">
        <f>IFERROR(VLOOKUP(Procv!R88,Procv!$C$1:$D$21,2,0),"")</f>
        <v/>
      </c>
    </row>
    <row r="89" spans="1:99" x14ac:dyDescent="0.25">
      <c r="A89" t="str">
        <f>IF('DADOS CSV'!J90="","",'DADOS CSV'!J90)</f>
        <v/>
      </c>
      <c r="B89" s="30" t="str">
        <f>IF('DADOS CSV'!N90="","",'DADOS CSV'!N90)</f>
        <v/>
      </c>
      <c r="C89" t="str">
        <f t="shared" si="10"/>
        <v/>
      </c>
      <c r="D89" t="str">
        <f t="shared" si="11"/>
        <v/>
      </c>
      <c r="E89" s="30" t="str">
        <f>IF('DADOS CSV'!O90="","",'DADOS CSV'!O90)</f>
        <v/>
      </c>
      <c r="F89" t="str">
        <f t="shared" si="12"/>
        <v/>
      </c>
      <c r="G89" t="str">
        <f t="shared" si="13"/>
        <v/>
      </c>
      <c r="CT89" t="str">
        <f t="shared" si="14"/>
        <v/>
      </c>
      <c r="CU89" s="33" t="str">
        <f>IFERROR(VLOOKUP(Procv!R89,Procv!$C$1:$D$21,2,0),"")</f>
        <v/>
      </c>
    </row>
    <row r="90" spans="1:99" x14ac:dyDescent="0.25">
      <c r="A90" t="str">
        <f>IF('DADOS CSV'!J91="","",'DADOS CSV'!J91)</f>
        <v/>
      </c>
      <c r="B90" s="30" t="str">
        <f>IF('DADOS CSV'!N91="","",'DADOS CSV'!N91)</f>
        <v/>
      </c>
      <c r="C90" t="str">
        <f t="shared" si="10"/>
        <v/>
      </c>
      <c r="D90" t="str">
        <f t="shared" si="11"/>
        <v/>
      </c>
      <c r="E90" s="30" t="str">
        <f>IF('DADOS CSV'!O91="","",'DADOS CSV'!O91)</f>
        <v/>
      </c>
      <c r="F90" t="str">
        <f t="shared" si="12"/>
        <v/>
      </c>
      <c r="G90" t="str">
        <f t="shared" si="13"/>
        <v/>
      </c>
      <c r="CT90" t="str">
        <f t="shared" si="14"/>
        <v/>
      </c>
      <c r="CU90" s="33" t="str">
        <f>IFERROR(VLOOKUP(Procv!R90,Procv!$C$1:$D$21,2,0),"")</f>
        <v/>
      </c>
    </row>
    <row r="91" spans="1:99" x14ac:dyDescent="0.25">
      <c r="A91" t="str">
        <f>IF('DADOS CSV'!J92="","",'DADOS CSV'!J92)</f>
        <v/>
      </c>
      <c r="B91" s="30" t="str">
        <f>IF('DADOS CSV'!N92="","",'DADOS CSV'!N92)</f>
        <v/>
      </c>
      <c r="C91" t="str">
        <f t="shared" si="10"/>
        <v/>
      </c>
      <c r="D91" t="str">
        <f t="shared" si="11"/>
        <v/>
      </c>
      <c r="E91" s="30" t="str">
        <f>IF('DADOS CSV'!O92="","",'DADOS CSV'!O92)</f>
        <v/>
      </c>
      <c r="F91" t="str">
        <f t="shared" si="12"/>
        <v/>
      </c>
      <c r="G91" t="str">
        <f t="shared" si="13"/>
        <v/>
      </c>
      <c r="CT91" t="str">
        <f t="shared" si="14"/>
        <v/>
      </c>
      <c r="CU91" s="33" t="str">
        <f>IFERROR(VLOOKUP(Procv!R91,Procv!$C$1:$D$21,2,0),"")</f>
        <v/>
      </c>
    </row>
    <row r="92" spans="1:99" x14ac:dyDescent="0.25">
      <c r="A92" t="str">
        <f>IF('DADOS CSV'!J93="","",'DADOS CSV'!J93)</f>
        <v/>
      </c>
      <c r="B92" s="30" t="str">
        <f>IF('DADOS CSV'!N93="","",'DADOS CSV'!N93)</f>
        <v/>
      </c>
      <c r="C92" t="str">
        <f t="shared" si="10"/>
        <v/>
      </c>
      <c r="D92" t="str">
        <f t="shared" si="11"/>
        <v/>
      </c>
      <c r="E92" s="30" t="str">
        <f>IF('DADOS CSV'!O93="","",'DADOS CSV'!O93)</f>
        <v/>
      </c>
      <c r="F92" t="str">
        <f t="shared" si="12"/>
        <v/>
      </c>
      <c r="G92" t="str">
        <f t="shared" si="13"/>
        <v/>
      </c>
      <c r="CT92" t="str">
        <f t="shared" si="14"/>
        <v/>
      </c>
      <c r="CU92" s="33" t="str">
        <f>IFERROR(VLOOKUP(Procv!R92,Procv!$C$1:$D$21,2,0),"")</f>
        <v/>
      </c>
    </row>
    <row r="93" spans="1:99" x14ac:dyDescent="0.25">
      <c r="A93" t="str">
        <f>IF('DADOS CSV'!J94="","",'DADOS CSV'!J94)</f>
        <v/>
      </c>
      <c r="B93" s="30" t="str">
        <f>IF('DADOS CSV'!N94="","",'DADOS CSV'!N94)</f>
        <v/>
      </c>
      <c r="C93" t="str">
        <f t="shared" si="10"/>
        <v/>
      </c>
      <c r="D93" t="str">
        <f t="shared" si="11"/>
        <v/>
      </c>
      <c r="E93" s="30" t="str">
        <f>IF('DADOS CSV'!O94="","",'DADOS CSV'!O94)</f>
        <v/>
      </c>
      <c r="F93" t="str">
        <f t="shared" si="12"/>
        <v/>
      </c>
      <c r="G93" t="str">
        <f t="shared" si="13"/>
        <v/>
      </c>
      <c r="CT93" t="str">
        <f t="shared" si="14"/>
        <v/>
      </c>
      <c r="CU93" s="33" t="str">
        <f>IFERROR(VLOOKUP(Procv!R93,Procv!$C$1:$D$21,2,0),"")</f>
        <v/>
      </c>
    </row>
    <row r="94" spans="1:99" x14ac:dyDescent="0.25">
      <c r="A94" t="str">
        <f>IF('DADOS CSV'!J95="","",'DADOS CSV'!J95)</f>
        <v/>
      </c>
      <c r="B94" s="30" t="str">
        <f>IF('DADOS CSV'!N95="","",'DADOS CSV'!N95)</f>
        <v/>
      </c>
      <c r="C94" t="str">
        <f t="shared" si="10"/>
        <v/>
      </c>
      <c r="D94" t="str">
        <f t="shared" si="11"/>
        <v/>
      </c>
      <c r="E94" s="30" t="str">
        <f>IF('DADOS CSV'!O95="","",'DADOS CSV'!O95)</f>
        <v/>
      </c>
      <c r="F94" t="str">
        <f t="shared" si="12"/>
        <v/>
      </c>
      <c r="G94" t="str">
        <f t="shared" si="13"/>
        <v/>
      </c>
      <c r="CT94" t="str">
        <f t="shared" si="14"/>
        <v/>
      </c>
      <c r="CU94" s="33" t="str">
        <f>IFERROR(VLOOKUP(Procv!R94,Procv!$C$1:$D$21,2,0),"")</f>
        <v/>
      </c>
    </row>
    <row r="95" spans="1:99" x14ac:dyDescent="0.25">
      <c r="A95" t="str">
        <f>IF('DADOS CSV'!J96="","",'DADOS CSV'!J96)</f>
        <v/>
      </c>
      <c r="B95" s="30" t="str">
        <f>IF('DADOS CSV'!N96="","",'DADOS CSV'!N96)</f>
        <v/>
      </c>
      <c r="C95" t="str">
        <f t="shared" si="10"/>
        <v/>
      </c>
      <c r="D95" t="str">
        <f t="shared" si="11"/>
        <v/>
      </c>
      <c r="E95" s="30" t="str">
        <f>IF('DADOS CSV'!O96="","",'DADOS CSV'!O96)</f>
        <v/>
      </c>
      <c r="F95" t="str">
        <f t="shared" si="12"/>
        <v/>
      </c>
      <c r="G95" t="str">
        <f t="shared" si="13"/>
        <v/>
      </c>
      <c r="CT95" t="str">
        <f t="shared" si="14"/>
        <v/>
      </c>
      <c r="CU95" s="33" t="str">
        <f>IFERROR(VLOOKUP(Procv!R95,Procv!$C$1:$D$21,2,0),"")</f>
        <v/>
      </c>
    </row>
    <row r="96" spans="1:99" x14ac:dyDescent="0.25">
      <c r="A96" t="str">
        <f>IF('DADOS CSV'!J97="","",'DADOS CSV'!J97)</f>
        <v/>
      </c>
      <c r="B96" s="30" t="str">
        <f>IF('DADOS CSV'!N97="","",'DADOS CSV'!N97)</f>
        <v/>
      </c>
      <c r="C96" t="str">
        <f t="shared" si="10"/>
        <v/>
      </c>
      <c r="D96" t="str">
        <f t="shared" si="11"/>
        <v/>
      </c>
      <c r="E96" s="30" t="str">
        <f>IF('DADOS CSV'!O97="","",'DADOS CSV'!O97)</f>
        <v/>
      </c>
      <c r="F96" t="str">
        <f t="shared" si="12"/>
        <v/>
      </c>
      <c r="G96" t="str">
        <f t="shared" si="13"/>
        <v/>
      </c>
      <c r="CT96" t="str">
        <f t="shared" si="14"/>
        <v/>
      </c>
      <c r="CU96" s="33" t="str">
        <f>IFERROR(VLOOKUP(Procv!R96,Procv!$C$1:$D$21,2,0),"")</f>
        <v/>
      </c>
    </row>
    <row r="97" spans="1:99" x14ac:dyDescent="0.25">
      <c r="A97" t="str">
        <f>IF('DADOS CSV'!J98="","",'DADOS CSV'!J98)</f>
        <v/>
      </c>
      <c r="B97" s="30" t="str">
        <f>IF('DADOS CSV'!N98="","",'DADOS CSV'!N98)</f>
        <v/>
      </c>
      <c r="C97" t="str">
        <f t="shared" si="10"/>
        <v/>
      </c>
      <c r="D97" t="str">
        <f t="shared" si="11"/>
        <v/>
      </c>
      <c r="E97" s="30" t="str">
        <f>IF('DADOS CSV'!O98="","",'DADOS CSV'!O98)</f>
        <v/>
      </c>
      <c r="F97" t="str">
        <f t="shared" si="12"/>
        <v/>
      </c>
      <c r="G97" t="str">
        <f t="shared" si="13"/>
        <v/>
      </c>
      <c r="CT97" t="str">
        <f t="shared" si="14"/>
        <v/>
      </c>
      <c r="CU97" s="33" t="str">
        <f>IFERROR(VLOOKUP(Procv!R97,Procv!$C$1:$D$21,2,0),"")</f>
        <v/>
      </c>
    </row>
    <row r="98" spans="1:99" x14ac:dyDescent="0.25">
      <c r="A98" t="str">
        <f>IF('DADOS CSV'!J99="","",'DADOS CSV'!J99)</f>
        <v/>
      </c>
      <c r="B98" s="30" t="str">
        <f>IF('DADOS CSV'!N99="","",'DADOS CSV'!N99)</f>
        <v/>
      </c>
      <c r="C98" t="str">
        <f t="shared" si="10"/>
        <v/>
      </c>
      <c r="D98" t="str">
        <f t="shared" si="11"/>
        <v/>
      </c>
      <c r="E98" s="30" t="str">
        <f>IF('DADOS CSV'!O99="","",'DADOS CSV'!O99)</f>
        <v/>
      </c>
      <c r="F98" t="str">
        <f t="shared" si="12"/>
        <v/>
      </c>
      <c r="G98" t="str">
        <f t="shared" si="13"/>
        <v/>
      </c>
      <c r="CT98" t="str">
        <f t="shared" si="14"/>
        <v/>
      </c>
      <c r="CU98" s="33" t="str">
        <f>IFERROR(VLOOKUP(Procv!R98,Procv!$C$1:$D$21,2,0),"")</f>
        <v/>
      </c>
    </row>
    <row r="99" spans="1:99" x14ac:dyDescent="0.25">
      <c r="A99" t="str">
        <f>IF('DADOS CSV'!J100="","",'DADOS CSV'!J100)</f>
        <v/>
      </c>
      <c r="B99" s="30" t="str">
        <f>IF('DADOS CSV'!N100="","",'DADOS CSV'!N100)</f>
        <v/>
      </c>
      <c r="C99" t="str">
        <f t="shared" ref="C99:C130" si="15">IF(A99="","",$C$2)</f>
        <v/>
      </c>
      <c r="D99" t="str">
        <f t="shared" ref="D99:D130" si="16">IF(A99="","",$D$2)</f>
        <v/>
      </c>
      <c r="E99" s="30" t="str">
        <f>IF('DADOS CSV'!O100="","",'DADOS CSV'!O100)</f>
        <v/>
      </c>
      <c r="F99" t="str">
        <f t="shared" ref="F99:F130" si="17">IF(A99="","",$F$2)</f>
        <v/>
      </c>
      <c r="G99" t="str">
        <f t="shared" ref="G99:G130" si="18">IF(A99="","",$G$2)</f>
        <v/>
      </c>
      <c r="CT99" t="str">
        <f t="shared" ref="CT99:CT130" si="19">IF(A99="","",$CT$2)</f>
        <v/>
      </c>
      <c r="CU99" s="33" t="str">
        <f>IFERROR(VLOOKUP(Procv!R99,Procv!$C$1:$D$21,2,0),"")</f>
        <v/>
      </c>
    </row>
    <row r="100" spans="1:99" x14ac:dyDescent="0.25">
      <c r="A100" t="str">
        <f>IF('DADOS CSV'!J101="","",'DADOS CSV'!J101)</f>
        <v/>
      </c>
      <c r="B100" s="30" t="str">
        <f>IF('DADOS CSV'!N101="","",'DADOS CSV'!N101)</f>
        <v/>
      </c>
      <c r="C100" t="str">
        <f t="shared" si="15"/>
        <v/>
      </c>
      <c r="D100" t="str">
        <f t="shared" si="16"/>
        <v/>
      </c>
      <c r="E100" s="30" t="str">
        <f>IF('DADOS CSV'!O101="","",'DADOS CSV'!O101)</f>
        <v/>
      </c>
      <c r="F100" t="str">
        <f t="shared" si="17"/>
        <v/>
      </c>
      <c r="G100" t="str">
        <f t="shared" si="18"/>
        <v/>
      </c>
      <c r="CT100" t="str">
        <f t="shared" si="19"/>
        <v/>
      </c>
      <c r="CU100" s="33" t="str">
        <f>IFERROR(VLOOKUP(Procv!R100,Procv!$C$1:$D$21,2,0),"")</f>
        <v/>
      </c>
    </row>
    <row r="101" spans="1:99" x14ac:dyDescent="0.25">
      <c r="A101" t="str">
        <f>IF('DADOS CSV'!J102="","",'DADOS CSV'!J102)</f>
        <v/>
      </c>
      <c r="B101" s="30" t="str">
        <f>IF('DADOS CSV'!N102="","",'DADOS CSV'!N102)</f>
        <v/>
      </c>
      <c r="C101" t="str">
        <f t="shared" si="15"/>
        <v/>
      </c>
      <c r="D101" t="str">
        <f t="shared" si="16"/>
        <v/>
      </c>
      <c r="E101" s="30" t="str">
        <f>IF('DADOS CSV'!O102="","",'DADOS CSV'!O102)</f>
        <v/>
      </c>
      <c r="F101" t="str">
        <f t="shared" si="17"/>
        <v/>
      </c>
      <c r="G101" t="str">
        <f t="shared" si="18"/>
        <v/>
      </c>
      <c r="CT101" t="str">
        <f t="shared" si="19"/>
        <v/>
      </c>
      <c r="CU101" s="33" t="str">
        <f>IFERROR(VLOOKUP(Procv!R101,Procv!$C$1:$D$21,2,0),"")</f>
        <v/>
      </c>
    </row>
    <row r="102" spans="1:99" x14ac:dyDescent="0.25">
      <c r="A102" t="str">
        <f>IF('DADOS CSV'!J103="","",'DADOS CSV'!J103)</f>
        <v/>
      </c>
      <c r="B102" s="30" t="str">
        <f>IF('DADOS CSV'!N103="","",'DADOS CSV'!N103)</f>
        <v/>
      </c>
      <c r="C102" t="str">
        <f t="shared" si="15"/>
        <v/>
      </c>
      <c r="D102" t="str">
        <f t="shared" si="16"/>
        <v/>
      </c>
      <c r="E102" s="30" t="str">
        <f>IF('DADOS CSV'!O103="","",'DADOS CSV'!O103)</f>
        <v/>
      </c>
      <c r="F102" t="str">
        <f t="shared" si="17"/>
        <v/>
      </c>
      <c r="G102" t="str">
        <f t="shared" si="18"/>
        <v/>
      </c>
      <c r="CT102" t="str">
        <f t="shared" si="19"/>
        <v/>
      </c>
      <c r="CU102" s="33" t="str">
        <f>IFERROR(VLOOKUP(Procv!R102,Procv!$C$1:$D$21,2,0),"")</f>
        <v/>
      </c>
    </row>
    <row r="103" spans="1:99" x14ac:dyDescent="0.25">
      <c r="A103" t="str">
        <f>IF('DADOS CSV'!J104="","",'DADOS CSV'!J104)</f>
        <v/>
      </c>
      <c r="B103" s="30" t="str">
        <f>IF('DADOS CSV'!N104="","",'DADOS CSV'!N104)</f>
        <v/>
      </c>
      <c r="C103" t="str">
        <f t="shared" si="15"/>
        <v/>
      </c>
      <c r="D103" t="str">
        <f t="shared" si="16"/>
        <v/>
      </c>
      <c r="E103" s="30" t="str">
        <f>IF('DADOS CSV'!O104="","",'DADOS CSV'!O104)</f>
        <v/>
      </c>
      <c r="F103" t="str">
        <f t="shared" si="17"/>
        <v/>
      </c>
      <c r="G103" t="str">
        <f t="shared" si="18"/>
        <v/>
      </c>
      <c r="CT103" t="str">
        <f t="shared" si="19"/>
        <v/>
      </c>
      <c r="CU103" s="33" t="str">
        <f>IFERROR(VLOOKUP(Procv!R103,Procv!$C$1:$D$21,2,0),"")</f>
        <v/>
      </c>
    </row>
    <row r="104" spans="1:99" x14ac:dyDescent="0.25">
      <c r="A104" t="str">
        <f>IF('DADOS CSV'!J105="","",'DADOS CSV'!J105)</f>
        <v/>
      </c>
      <c r="B104" s="30" t="str">
        <f>IF('DADOS CSV'!N105="","",'DADOS CSV'!N105)</f>
        <v/>
      </c>
      <c r="C104" t="str">
        <f t="shared" si="15"/>
        <v/>
      </c>
      <c r="D104" t="str">
        <f t="shared" si="16"/>
        <v/>
      </c>
      <c r="E104" s="30" t="str">
        <f>IF('DADOS CSV'!O105="","",'DADOS CSV'!O105)</f>
        <v/>
      </c>
      <c r="F104" t="str">
        <f t="shared" si="17"/>
        <v/>
      </c>
      <c r="G104" t="str">
        <f t="shared" si="18"/>
        <v/>
      </c>
      <c r="CT104" t="str">
        <f t="shared" si="19"/>
        <v/>
      </c>
      <c r="CU104" s="33" t="str">
        <f>IFERROR(VLOOKUP(Procv!R104,Procv!$C$1:$D$21,2,0),"")</f>
        <v/>
      </c>
    </row>
    <row r="105" spans="1:99" x14ac:dyDescent="0.25">
      <c r="A105" t="str">
        <f>IF('DADOS CSV'!J106="","",'DADOS CSV'!J106)</f>
        <v/>
      </c>
      <c r="B105" s="30" t="str">
        <f>IF('DADOS CSV'!N106="","",'DADOS CSV'!N106)</f>
        <v/>
      </c>
      <c r="C105" t="str">
        <f t="shared" si="15"/>
        <v/>
      </c>
      <c r="D105" t="str">
        <f t="shared" si="16"/>
        <v/>
      </c>
      <c r="E105" s="30" t="str">
        <f>IF('DADOS CSV'!O106="","",'DADOS CSV'!O106)</f>
        <v/>
      </c>
      <c r="F105" t="str">
        <f t="shared" si="17"/>
        <v/>
      </c>
      <c r="G105" t="str">
        <f t="shared" si="18"/>
        <v/>
      </c>
      <c r="CT105" t="str">
        <f t="shared" si="19"/>
        <v/>
      </c>
      <c r="CU105" s="33" t="str">
        <f>IFERROR(VLOOKUP(Procv!R105,Procv!$C$1:$D$21,2,0),"")</f>
        <v/>
      </c>
    </row>
    <row r="106" spans="1:99" x14ac:dyDescent="0.25">
      <c r="A106" t="str">
        <f>IF('DADOS CSV'!J107="","",'DADOS CSV'!J107)</f>
        <v/>
      </c>
      <c r="B106" s="30" t="str">
        <f>IF('DADOS CSV'!N107="","",'DADOS CSV'!N107)</f>
        <v/>
      </c>
      <c r="C106" t="str">
        <f t="shared" si="15"/>
        <v/>
      </c>
      <c r="D106" t="str">
        <f t="shared" si="16"/>
        <v/>
      </c>
      <c r="E106" s="30" t="str">
        <f>IF('DADOS CSV'!O107="","",'DADOS CSV'!O107)</f>
        <v/>
      </c>
      <c r="F106" t="str">
        <f t="shared" si="17"/>
        <v/>
      </c>
      <c r="G106" t="str">
        <f t="shared" si="18"/>
        <v/>
      </c>
      <c r="CT106" t="str">
        <f t="shared" si="19"/>
        <v/>
      </c>
      <c r="CU106" s="33" t="str">
        <f>IFERROR(VLOOKUP(Procv!R106,Procv!$C$1:$D$21,2,0),"")</f>
        <v/>
      </c>
    </row>
    <row r="107" spans="1:99" x14ac:dyDescent="0.25">
      <c r="A107" t="str">
        <f>IF('DADOS CSV'!J108="","",'DADOS CSV'!J108)</f>
        <v/>
      </c>
      <c r="B107" s="30" t="str">
        <f>IF('DADOS CSV'!N108="","",'DADOS CSV'!N108)</f>
        <v/>
      </c>
      <c r="C107" t="str">
        <f t="shared" si="15"/>
        <v/>
      </c>
      <c r="D107" t="str">
        <f t="shared" si="16"/>
        <v/>
      </c>
      <c r="E107" s="30" t="str">
        <f>IF('DADOS CSV'!O108="","",'DADOS CSV'!O108)</f>
        <v/>
      </c>
      <c r="F107" t="str">
        <f t="shared" si="17"/>
        <v/>
      </c>
      <c r="G107" t="str">
        <f t="shared" si="18"/>
        <v/>
      </c>
      <c r="CT107" t="str">
        <f t="shared" si="19"/>
        <v/>
      </c>
      <c r="CU107" s="33" t="str">
        <f>IFERROR(VLOOKUP(Procv!R107,Procv!$C$1:$D$21,2,0),"")</f>
        <v/>
      </c>
    </row>
    <row r="108" spans="1:99" x14ac:dyDescent="0.25">
      <c r="A108" t="str">
        <f>IF('DADOS CSV'!J109="","",'DADOS CSV'!J109)</f>
        <v/>
      </c>
      <c r="B108" s="30" t="str">
        <f>IF('DADOS CSV'!N109="","",'DADOS CSV'!N109)</f>
        <v/>
      </c>
      <c r="C108" t="str">
        <f t="shared" si="15"/>
        <v/>
      </c>
      <c r="D108" t="str">
        <f t="shared" si="16"/>
        <v/>
      </c>
      <c r="E108" s="30" t="str">
        <f>IF('DADOS CSV'!O109="","",'DADOS CSV'!O109)</f>
        <v/>
      </c>
      <c r="F108" t="str">
        <f t="shared" si="17"/>
        <v/>
      </c>
      <c r="G108" t="str">
        <f t="shared" si="18"/>
        <v/>
      </c>
      <c r="CT108" t="str">
        <f t="shared" si="19"/>
        <v/>
      </c>
      <c r="CU108" s="33" t="str">
        <f>IFERROR(VLOOKUP(Procv!R108,Procv!$C$1:$D$21,2,0),"")</f>
        <v/>
      </c>
    </row>
    <row r="109" spans="1:99" x14ac:dyDescent="0.25">
      <c r="A109" t="str">
        <f>IF('DADOS CSV'!J110="","",'DADOS CSV'!J110)</f>
        <v/>
      </c>
      <c r="B109" s="30" t="str">
        <f>IF('DADOS CSV'!N110="","",'DADOS CSV'!N110)</f>
        <v/>
      </c>
      <c r="C109" t="str">
        <f t="shared" si="15"/>
        <v/>
      </c>
      <c r="D109" t="str">
        <f t="shared" si="16"/>
        <v/>
      </c>
      <c r="E109" s="30" t="str">
        <f>IF('DADOS CSV'!O110="","",'DADOS CSV'!O110)</f>
        <v/>
      </c>
      <c r="F109" t="str">
        <f t="shared" si="17"/>
        <v/>
      </c>
      <c r="G109" t="str">
        <f t="shared" si="18"/>
        <v/>
      </c>
      <c r="CT109" t="str">
        <f t="shared" si="19"/>
        <v/>
      </c>
      <c r="CU109" s="33" t="str">
        <f>IFERROR(VLOOKUP(Procv!R109,Procv!$C$1:$D$21,2,0),"")</f>
        <v/>
      </c>
    </row>
    <row r="110" spans="1:99" x14ac:dyDescent="0.25">
      <c r="A110" t="str">
        <f>IF('DADOS CSV'!J111="","",'DADOS CSV'!J111)</f>
        <v/>
      </c>
      <c r="B110" s="30" t="str">
        <f>IF('DADOS CSV'!N111="","",'DADOS CSV'!N111)</f>
        <v/>
      </c>
      <c r="C110" t="str">
        <f t="shared" si="15"/>
        <v/>
      </c>
      <c r="D110" t="str">
        <f t="shared" si="16"/>
        <v/>
      </c>
      <c r="E110" s="30" t="str">
        <f>IF('DADOS CSV'!O111="","",'DADOS CSV'!O111)</f>
        <v/>
      </c>
      <c r="F110" t="str">
        <f t="shared" si="17"/>
        <v/>
      </c>
      <c r="G110" t="str">
        <f t="shared" si="18"/>
        <v/>
      </c>
      <c r="CT110" t="str">
        <f t="shared" si="19"/>
        <v/>
      </c>
      <c r="CU110" s="33" t="str">
        <f>IFERROR(VLOOKUP(Procv!R110,Procv!$C$1:$D$21,2,0),"")</f>
        <v/>
      </c>
    </row>
    <row r="111" spans="1:99" x14ac:dyDescent="0.25">
      <c r="A111" t="str">
        <f>IF('DADOS CSV'!J112="","",'DADOS CSV'!J112)</f>
        <v/>
      </c>
      <c r="B111" s="30" t="str">
        <f>IF('DADOS CSV'!N112="","",'DADOS CSV'!N112)</f>
        <v/>
      </c>
      <c r="C111" t="str">
        <f t="shared" si="15"/>
        <v/>
      </c>
      <c r="D111" t="str">
        <f t="shared" si="16"/>
        <v/>
      </c>
      <c r="E111" s="30" t="str">
        <f>IF('DADOS CSV'!O112="","",'DADOS CSV'!O112)</f>
        <v/>
      </c>
      <c r="F111" t="str">
        <f t="shared" si="17"/>
        <v/>
      </c>
      <c r="G111" t="str">
        <f t="shared" si="18"/>
        <v/>
      </c>
      <c r="CT111" t="str">
        <f t="shared" si="19"/>
        <v/>
      </c>
      <c r="CU111" s="33" t="str">
        <f>IFERROR(VLOOKUP(Procv!R111,Procv!$C$1:$D$21,2,0),"")</f>
        <v/>
      </c>
    </row>
    <row r="112" spans="1:99" x14ac:dyDescent="0.25">
      <c r="A112" t="str">
        <f>IF('DADOS CSV'!J113="","",'DADOS CSV'!J113)</f>
        <v/>
      </c>
      <c r="B112" s="30" t="str">
        <f>IF('DADOS CSV'!N113="","",'DADOS CSV'!N113)</f>
        <v/>
      </c>
      <c r="C112" t="str">
        <f t="shared" si="15"/>
        <v/>
      </c>
      <c r="D112" t="str">
        <f t="shared" si="16"/>
        <v/>
      </c>
      <c r="E112" s="30" t="str">
        <f>IF('DADOS CSV'!O113="","",'DADOS CSV'!O113)</f>
        <v/>
      </c>
      <c r="F112" t="str">
        <f t="shared" si="17"/>
        <v/>
      </c>
      <c r="G112" t="str">
        <f t="shared" si="18"/>
        <v/>
      </c>
      <c r="CT112" t="str">
        <f t="shared" si="19"/>
        <v/>
      </c>
      <c r="CU112" s="33" t="str">
        <f>IFERROR(VLOOKUP(Procv!R112,Procv!$C$1:$D$21,2,0),"")</f>
        <v/>
      </c>
    </row>
    <row r="113" spans="1:99" x14ac:dyDescent="0.25">
      <c r="A113" t="str">
        <f>IF('DADOS CSV'!J114="","",'DADOS CSV'!J114)</f>
        <v/>
      </c>
      <c r="B113" s="30" t="str">
        <f>IF('DADOS CSV'!N114="","",'DADOS CSV'!N114)</f>
        <v/>
      </c>
      <c r="C113" t="str">
        <f t="shared" si="15"/>
        <v/>
      </c>
      <c r="D113" t="str">
        <f t="shared" si="16"/>
        <v/>
      </c>
      <c r="E113" s="30" t="str">
        <f>IF('DADOS CSV'!O114="","",'DADOS CSV'!O114)</f>
        <v/>
      </c>
      <c r="F113" t="str">
        <f t="shared" si="17"/>
        <v/>
      </c>
      <c r="G113" t="str">
        <f t="shared" si="18"/>
        <v/>
      </c>
      <c r="CT113" t="str">
        <f t="shared" si="19"/>
        <v/>
      </c>
      <c r="CU113" s="33" t="str">
        <f>IFERROR(VLOOKUP(Procv!R113,Procv!$C$1:$D$21,2,0),"")</f>
        <v/>
      </c>
    </row>
    <row r="114" spans="1:99" x14ac:dyDescent="0.25">
      <c r="A114" t="str">
        <f>IF('DADOS CSV'!J115="","",'DADOS CSV'!J115)</f>
        <v/>
      </c>
      <c r="B114" s="30" t="str">
        <f>IF('DADOS CSV'!N115="","",'DADOS CSV'!N115)</f>
        <v/>
      </c>
      <c r="C114" t="str">
        <f t="shared" si="15"/>
        <v/>
      </c>
      <c r="D114" t="str">
        <f t="shared" si="16"/>
        <v/>
      </c>
      <c r="E114" s="30" t="str">
        <f>IF('DADOS CSV'!O115="","",'DADOS CSV'!O115)</f>
        <v/>
      </c>
      <c r="F114" t="str">
        <f t="shared" si="17"/>
        <v/>
      </c>
      <c r="G114" t="str">
        <f t="shared" si="18"/>
        <v/>
      </c>
      <c r="CT114" t="str">
        <f t="shared" si="19"/>
        <v/>
      </c>
      <c r="CU114" s="33" t="str">
        <f>IFERROR(VLOOKUP(Procv!R114,Procv!$C$1:$D$21,2,0),"")</f>
        <v/>
      </c>
    </row>
    <row r="115" spans="1:99" x14ac:dyDescent="0.25">
      <c r="A115" t="str">
        <f>IF('DADOS CSV'!J116="","",'DADOS CSV'!J116)</f>
        <v/>
      </c>
      <c r="B115" s="30" t="str">
        <f>IF('DADOS CSV'!N116="","",'DADOS CSV'!N116)</f>
        <v/>
      </c>
      <c r="C115" t="str">
        <f t="shared" si="15"/>
        <v/>
      </c>
      <c r="D115" t="str">
        <f t="shared" si="16"/>
        <v/>
      </c>
      <c r="E115" s="30" t="str">
        <f>IF('DADOS CSV'!O116="","",'DADOS CSV'!O116)</f>
        <v/>
      </c>
      <c r="F115" t="str">
        <f t="shared" si="17"/>
        <v/>
      </c>
      <c r="G115" t="str">
        <f t="shared" si="18"/>
        <v/>
      </c>
      <c r="CT115" t="str">
        <f t="shared" si="19"/>
        <v/>
      </c>
      <c r="CU115" s="33" t="str">
        <f>IFERROR(VLOOKUP(Procv!R115,Procv!$C$1:$D$21,2,0),"")</f>
        <v/>
      </c>
    </row>
    <row r="116" spans="1:99" x14ac:dyDescent="0.25">
      <c r="A116" t="str">
        <f>IF('DADOS CSV'!J117="","",'DADOS CSV'!J117)</f>
        <v/>
      </c>
      <c r="B116" s="30" t="str">
        <f>IF('DADOS CSV'!N117="","",'DADOS CSV'!N117)</f>
        <v/>
      </c>
      <c r="C116" t="str">
        <f t="shared" si="15"/>
        <v/>
      </c>
      <c r="D116" t="str">
        <f t="shared" si="16"/>
        <v/>
      </c>
      <c r="E116" s="30" t="str">
        <f>IF('DADOS CSV'!O117="","",'DADOS CSV'!O117)</f>
        <v/>
      </c>
      <c r="F116" t="str">
        <f t="shared" si="17"/>
        <v/>
      </c>
      <c r="G116" t="str">
        <f t="shared" si="18"/>
        <v/>
      </c>
      <c r="CT116" t="str">
        <f t="shared" si="19"/>
        <v/>
      </c>
      <c r="CU116" s="33" t="str">
        <f>IFERROR(VLOOKUP(Procv!R116,Procv!$C$1:$D$21,2,0),"")</f>
        <v/>
      </c>
    </row>
    <row r="117" spans="1:99" x14ac:dyDescent="0.25">
      <c r="A117" t="str">
        <f>IF('DADOS CSV'!J118="","",'DADOS CSV'!J118)</f>
        <v/>
      </c>
      <c r="B117" s="30" t="str">
        <f>IF('DADOS CSV'!N118="","",'DADOS CSV'!N118)</f>
        <v/>
      </c>
      <c r="C117" t="str">
        <f t="shared" si="15"/>
        <v/>
      </c>
      <c r="D117" t="str">
        <f t="shared" si="16"/>
        <v/>
      </c>
      <c r="E117" s="30" t="str">
        <f>IF('DADOS CSV'!O118="","",'DADOS CSV'!O118)</f>
        <v/>
      </c>
      <c r="F117" t="str">
        <f t="shared" si="17"/>
        <v/>
      </c>
      <c r="G117" t="str">
        <f t="shared" si="18"/>
        <v/>
      </c>
      <c r="CT117" t="str">
        <f t="shared" si="19"/>
        <v/>
      </c>
      <c r="CU117" s="33" t="str">
        <f>IFERROR(VLOOKUP(Procv!R117,Procv!$C$1:$D$21,2,0),"")</f>
        <v/>
      </c>
    </row>
    <row r="118" spans="1:99" x14ac:dyDescent="0.25">
      <c r="A118" t="str">
        <f>IF('DADOS CSV'!J119="","",'DADOS CSV'!J119)</f>
        <v/>
      </c>
      <c r="B118" s="30" t="str">
        <f>IF('DADOS CSV'!N119="","",'DADOS CSV'!N119)</f>
        <v/>
      </c>
      <c r="C118" t="str">
        <f t="shared" si="15"/>
        <v/>
      </c>
      <c r="D118" t="str">
        <f t="shared" si="16"/>
        <v/>
      </c>
      <c r="E118" s="30" t="str">
        <f>IF('DADOS CSV'!O119="","",'DADOS CSV'!O119)</f>
        <v/>
      </c>
      <c r="F118" t="str">
        <f t="shared" si="17"/>
        <v/>
      </c>
      <c r="G118" t="str">
        <f t="shared" si="18"/>
        <v/>
      </c>
      <c r="CT118" t="str">
        <f t="shared" si="19"/>
        <v/>
      </c>
      <c r="CU118" s="33" t="str">
        <f>IFERROR(VLOOKUP(Procv!R118,Procv!$C$1:$D$21,2,0),"")</f>
        <v/>
      </c>
    </row>
    <row r="119" spans="1:99" x14ac:dyDescent="0.25">
      <c r="A119" t="str">
        <f>IF('DADOS CSV'!J120="","",'DADOS CSV'!J120)</f>
        <v/>
      </c>
      <c r="B119" s="30" t="str">
        <f>IF('DADOS CSV'!N120="","",'DADOS CSV'!N120)</f>
        <v/>
      </c>
      <c r="C119" t="str">
        <f t="shared" si="15"/>
        <v/>
      </c>
      <c r="D119" t="str">
        <f t="shared" si="16"/>
        <v/>
      </c>
      <c r="E119" s="30" t="str">
        <f>IF('DADOS CSV'!O120="","",'DADOS CSV'!O120)</f>
        <v/>
      </c>
      <c r="F119" t="str">
        <f t="shared" si="17"/>
        <v/>
      </c>
      <c r="G119" t="str">
        <f t="shared" si="18"/>
        <v/>
      </c>
      <c r="CT119" t="str">
        <f t="shared" si="19"/>
        <v/>
      </c>
      <c r="CU119" s="33" t="str">
        <f>IFERROR(VLOOKUP(Procv!R119,Procv!$C$1:$D$21,2,0),"")</f>
        <v/>
      </c>
    </row>
    <row r="120" spans="1:99" x14ac:dyDescent="0.25">
      <c r="A120" t="str">
        <f>IF('DADOS CSV'!J121="","",'DADOS CSV'!J121)</f>
        <v/>
      </c>
      <c r="B120" s="30" t="str">
        <f>IF('DADOS CSV'!N121="","",'DADOS CSV'!N121)</f>
        <v/>
      </c>
      <c r="C120" t="str">
        <f t="shared" si="15"/>
        <v/>
      </c>
      <c r="D120" t="str">
        <f t="shared" si="16"/>
        <v/>
      </c>
      <c r="E120" s="30" t="str">
        <f>IF('DADOS CSV'!O121="","",'DADOS CSV'!O121)</f>
        <v/>
      </c>
      <c r="F120" t="str">
        <f t="shared" si="17"/>
        <v/>
      </c>
      <c r="G120" t="str">
        <f t="shared" si="18"/>
        <v/>
      </c>
      <c r="CT120" t="str">
        <f t="shared" si="19"/>
        <v/>
      </c>
      <c r="CU120" s="33" t="str">
        <f>IFERROR(VLOOKUP(Procv!R120,Procv!$C$1:$D$21,2,0),"")</f>
        <v/>
      </c>
    </row>
    <row r="121" spans="1:99" x14ac:dyDescent="0.25">
      <c r="A121" t="str">
        <f>IF('DADOS CSV'!J122="","",'DADOS CSV'!J122)</f>
        <v/>
      </c>
      <c r="B121" s="30" t="str">
        <f>IF('DADOS CSV'!N122="","",'DADOS CSV'!N122)</f>
        <v/>
      </c>
      <c r="C121" t="str">
        <f t="shared" si="15"/>
        <v/>
      </c>
      <c r="D121" t="str">
        <f t="shared" si="16"/>
        <v/>
      </c>
      <c r="E121" s="30" t="str">
        <f>IF('DADOS CSV'!O122="","",'DADOS CSV'!O122)</f>
        <v/>
      </c>
      <c r="F121" t="str">
        <f t="shared" si="17"/>
        <v/>
      </c>
      <c r="G121" t="str">
        <f t="shared" si="18"/>
        <v/>
      </c>
      <c r="CT121" t="str">
        <f t="shared" si="19"/>
        <v/>
      </c>
      <c r="CU121" s="33" t="str">
        <f>IFERROR(VLOOKUP(Procv!R121,Procv!$C$1:$D$21,2,0),"")</f>
        <v/>
      </c>
    </row>
    <row r="122" spans="1:99" x14ac:dyDescent="0.25">
      <c r="A122" t="str">
        <f>IF('DADOS CSV'!J123="","",'DADOS CSV'!J123)</f>
        <v/>
      </c>
      <c r="B122" s="30" t="str">
        <f>IF('DADOS CSV'!N123="","",'DADOS CSV'!N123)</f>
        <v/>
      </c>
      <c r="C122" t="str">
        <f t="shared" si="15"/>
        <v/>
      </c>
      <c r="D122" t="str">
        <f t="shared" si="16"/>
        <v/>
      </c>
      <c r="E122" s="30" t="str">
        <f>IF('DADOS CSV'!O123="","",'DADOS CSV'!O123)</f>
        <v/>
      </c>
      <c r="F122" t="str">
        <f t="shared" si="17"/>
        <v/>
      </c>
      <c r="G122" t="str">
        <f t="shared" si="18"/>
        <v/>
      </c>
      <c r="CT122" t="str">
        <f t="shared" si="19"/>
        <v/>
      </c>
      <c r="CU122" s="33" t="str">
        <f>IFERROR(VLOOKUP(Procv!R122,Procv!$C$1:$D$21,2,0),"")</f>
        <v/>
      </c>
    </row>
    <row r="123" spans="1:99" x14ac:dyDescent="0.25">
      <c r="A123" t="str">
        <f>IF('DADOS CSV'!J124="","",'DADOS CSV'!J124)</f>
        <v/>
      </c>
      <c r="B123" s="30" t="str">
        <f>IF('DADOS CSV'!N124="","",'DADOS CSV'!N124)</f>
        <v/>
      </c>
      <c r="C123" t="str">
        <f t="shared" si="15"/>
        <v/>
      </c>
      <c r="D123" t="str">
        <f t="shared" si="16"/>
        <v/>
      </c>
      <c r="E123" s="30" t="str">
        <f>IF('DADOS CSV'!O124="","",'DADOS CSV'!O124)</f>
        <v/>
      </c>
      <c r="F123" t="str">
        <f t="shared" si="17"/>
        <v/>
      </c>
      <c r="G123" t="str">
        <f t="shared" si="18"/>
        <v/>
      </c>
      <c r="CT123" t="str">
        <f t="shared" si="19"/>
        <v/>
      </c>
      <c r="CU123" s="33" t="str">
        <f>IFERROR(VLOOKUP(Procv!R123,Procv!$C$1:$D$21,2,0),"")</f>
        <v/>
      </c>
    </row>
    <row r="124" spans="1:99" x14ac:dyDescent="0.25">
      <c r="A124" t="str">
        <f>IF('DADOS CSV'!J125="","",'DADOS CSV'!J125)</f>
        <v/>
      </c>
      <c r="B124" s="30" t="str">
        <f>IF('DADOS CSV'!N125="","",'DADOS CSV'!N125)</f>
        <v/>
      </c>
      <c r="C124" t="str">
        <f t="shared" si="15"/>
        <v/>
      </c>
      <c r="D124" t="str">
        <f t="shared" si="16"/>
        <v/>
      </c>
      <c r="E124" s="30" t="str">
        <f>IF('DADOS CSV'!O125="","",'DADOS CSV'!O125)</f>
        <v/>
      </c>
      <c r="F124" t="str">
        <f t="shared" si="17"/>
        <v/>
      </c>
      <c r="G124" t="str">
        <f t="shared" si="18"/>
        <v/>
      </c>
      <c r="CT124" t="str">
        <f t="shared" si="19"/>
        <v/>
      </c>
      <c r="CU124" s="33" t="str">
        <f>IFERROR(VLOOKUP(Procv!R124,Procv!$C$1:$D$21,2,0),"")</f>
        <v/>
      </c>
    </row>
    <row r="125" spans="1:99" x14ac:dyDescent="0.25">
      <c r="A125" t="str">
        <f>IF('DADOS CSV'!J126="","",'DADOS CSV'!J126)</f>
        <v/>
      </c>
      <c r="B125" s="30" t="str">
        <f>IF('DADOS CSV'!N126="","",'DADOS CSV'!N126)</f>
        <v/>
      </c>
      <c r="C125" t="str">
        <f t="shared" si="15"/>
        <v/>
      </c>
      <c r="D125" t="str">
        <f t="shared" si="16"/>
        <v/>
      </c>
      <c r="E125" s="30" t="str">
        <f>IF('DADOS CSV'!O126="","",'DADOS CSV'!O126)</f>
        <v/>
      </c>
      <c r="F125" t="str">
        <f t="shared" si="17"/>
        <v/>
      </c>
      <c r="G125" t="str">
        <f t="shared" si="18"/>
        <v/>
      </c>
      <c r="CT125" t="str">
        <f t="shared" si="19"/>
        <v/>
      </c>
      <c r="CU125" s="33" t="str">
        <f>IFERROR(VLOOKUP(Procv!R125,Procv!$C$1:$D$21,2,0),"")</f>
        <v/>
      </c>
    </row>
    <row r="126" spans="1:99" x14ac:dyDescent="0.25">
      <c r="A126" t="str">
        <f>IF('DADOS CSV'!J127="","",'DADOS CSV'!J127)</f>
        <v/>
      </c>
      <c r="B126" s="30" t="str">
        <f>IF('DADOS CSV'!N127="","",'DADOS CSV'!N127)</f>
        <v/>
      </c>
      <c r="C126" t="str">
        <f t="shared" si="15"/>
        <v/>
      </c>
      <c r="D126" t="str">
        <f t="shared" si="16"/>
        <v/>
      </c>
      <c r="E126" s="30" t="str">
        <f>IF('DADOS CSV'!O127="","",'DADOS CSV'!O127)</f>
        <v/>
      </c>
      <c r="F126" t="str">
        <f t="shared" si="17"/>
        <v/>
      </c>
      <c r="G126" t="str">
        <f t="shared" si="18"/>
        <v/>
      </c>
      <c r="CT126" t="str">
        <f t="shared" si="19"/>
        <v/>
      </c>
      <c r="CU126" s="33" t="str">
        <f>IFERROR(VLOOKUP(Procv!R126,Procv!$C$1:$D$21,2,0),"")</f>
        <v/>
      </c>
    </row>
    <row r="127" spans="1:99" x14ac:dyDescent="0.25">
      <c r="A127" t="str">
        <f>IF('DADOS CSV'!J128="","",'DADOS CSV'!J128)</f>
        <v/>
      </c>
      <c r="B127" s="30" t="str">
        <f>IF('DADOS CSV'!N128="","",'DADOS CSV'!N128)</f>
        <v/>
      </c>
      <c r="C127" t="str">
        <f t="shared" si="15"/>
        <v/>
      </c>
      <c r="D127" t="str">
        <f t="shared" si="16"/>
        <v/>
      </c>
      <c r="E127" s="30" t="str">
        <f>IF('DADOS CSV'!O128="","",'DADOS CSV'!O128)</f>
        <v/>
      </c>
      <c r="F127" t="str">
        <f t="shared" si="17"/>
        <v/>
      </c>
      <c r="G127" t="str">
        <f t="shared" si="18"/>
        <v/>
      </c>
      <c r="CT127" t="str">
        <f t="shared" si="19"/>
        <v/>
      </c>
      <c r="CU127" s="33" t="str">
        <f>IFERROR(VLOOKUP(Procv!R127,Procv!$C$1:$D$21,2,0),"")</f>
        <v/>
      </c>
    </row>
    <row r="128" spans="1:99" x14ac:dyDescent="0.25">
      <c r="A128" t="str">
        <f>IF('DADOS CSV'!J129="","",'DADOS CSV'!J129)</f>
        <v/>
      </c>
      <c r="B128" s="30" t="str">
        <f>IF('DADOS CSV'!N129="","",'DADOS CSV'!N129)</f>
        <v/>
      </c>
      <c r="C128" t="str">
        <f t="shared" si="15"/>
        <v/>
      </c>
      <c r="D128" t="str">
        <f t="shared" si="16"/>
        <v/>
      </c>
      <c r="E128" s="30" t="str">
        <f>IF('DADOS CSV'!O129="","",'DADOS CSV'!O129)</f>
        <v/>
      </c>
      <c r="F128" t="str">
        <f t="shared" si="17"/>
        <v/>
      </c>
      <c r="G128" t="str">
        <f t="shared" si="18"/>
        <v/>
      </c>
      <c r="CT128" t="str">
        <f t="shared" si="19"/>
        <v/>
      </c>
      <c r="CU128" s="33" t="str">
        <f>IFERROR(VLOOKUP(Procv!R128,Procv!$C$1:$D$21,2,0),"")</f>
        <v/>
      </c>
    </row>
    <row r="129" spans="1:99" x14ac:dyDescent="0.25">
      <c r="A129" t="str">
        <f>IF('DADOS CSV'!J130="","",'DADOS CSV'!J130)</f>
        <v/>
      </c>
      <c r="B129" s="30" t="str">
        <f>IF('DADOS CSV'!N130="","",'DADOS CSV'!N130)</f>
        <v/>
      </c>
      <c r="C129" t="str">
        <f t="shared" si="15"/>
        <v/>
      </c>
      <c r="D129" t="str">
        <f t="shared" si="16"/>
        <v/>
      </c>
      <c r="E129" s="30" t="str">
        <f>IF('DADOS CSV'!O130="","",'DADOS CSV'!O130)</f>
        <v/>
      </c>
      <c r="F129" t="str">
        <f t="shared" si="17"/>
        <v/>
      </c>
      <c r="G129" t="str">
        <f t="shared" si="18"/>
        <v/>
      </c>
      <c r="CT129" t="str">
        <f t="shared" si="19"/>
        <v/>
      </c>
      <c r="CU129" s="33" t="str">
        <f>IFERROR(VLOOKUP(Procv!R129,Procv!$C$1:$D$21,2,0),"")</f>
        <v/>
      </c>
    </row>
    <row r="130" spans="1:99" x14ac:dyDescent="0.25">
      <c r="A130" t="str">
        <f>IF('DADOS CSV'!J131="","",'DADOS CSV'!J131)</f>
        <v/>
      </c>
      <c r="B130" s="30" t="str">
        <f>IF('DADOS CSV'!N131="","",'DADOS CSV'!N131)</f>
        <v/>
      </c>
      <c r="C130" t="str">
        <f t="shared" si="15"/>
        <v/>
      </c>
      <c r="D130" t="str">
        <f t="shared" si="16"/>
        <v/>
      </c>
      <c r="E130" s="30" t="str">
        <f>IF('DADOS CSV'!O131="","",'DADOS CSV'!O131)</f>
        <v/>
      </c>
      <c r="F130" t="str">
        <f t="shared" si="17"/>
        <v/>
      </c>
      <c r="G130" t="str">
        <f t="shared" si="18"/>
        <v/>
      </c>
      <c r="CT130" t="str">
        <f t="shared" si="19"/>
        <v/>
      </c>
      <c r="CU130" s="33" t="str">
        <f>IFERROR(VLOOKUP(Procv!R130,Procv!$C$1:$D$21,2,0),"")</f>
        <v/>
      </c>
    </row>
    <row r="131" spans="1:99" x14ac:dyDescent="0.25">
      <c r="A131" t="str">
        <f>IF('DADOS CSV'!J132="","",'DADOS CSV'!J132)</f>
        <v/>
      </c>
      <c r="B131" s="30" t="str">
        <f>IF('DADOS CSV'!N132="","",'DADOS CSV'!N132)</f>
        <v/>
      </c>
      <c r="C131" t="str">
        <f t="shared" ref="C131:C162" si="20">IF(A131="","",$C$2)</f>
        <v/>
      </c>
      <c r="D131" t="str">
        <f t="shared" ref="D131:D162" si="21">IF(A131="","",$D$2)</f>
        <v/>
      </c>
      <c r="E131" s="30" t="str">
        <f>IF('DADOS CSV'!O132="","",'DADOS CSV'!O132)</f>
        <v/>
      </c>
      <c r="F131" t="str">
        <f t="shared" ref="F131:F162" si="22">IF(A131="","",$F$2)</f>
        <v/>
      </c>
      <c r="G131" t="str">
        <f t="shared" ref="G131:G162" si="23">IF(A131="","",$G$2)</f>
        <v/>
      </c>
      <c r="CT131" t="str">
        <f t="shared" ref="CT131:CT162" si="24">IF(A131="","",$CT$2)</f>
        <v/>
      </c>
      <c r="CU131" s="33" t="str">
        <f>IFERROR(VLOOKUP(Procv!R131,Procv!$C$1:$D$21,2,0),"")</f>
        <v/>
      </c>
    </row>
    <row r="132" spans="1:99" x14ac:dyDescent="0.25">
      <c r="A132" t="str">
        <f>IF('DADOS CSV'!J133="","",'DADOS CSV'!J133)</f>
        <v/>
      </c>
      <c r="B132" s="30" t="str">
        <f>IF('DADOS CSV'!N133="","",'DADOS CSV'!N133)</f>
        <v/>
      </c>
      <c r="C132" t="str">
        <f t="shared" si="20"/>
        <v/>
      </c>
      <c r="D132" t="str">
        <f t="shared" si="21"/>
        <v/>
      </c>
      <c r="E132" s="30" t="str">
        <f>IF('DADOS CSV'!O133="","",'DADOS CSV'!O133)</f>
        <v/>
      </c>
      <c r="F132" t="str">
        <f t="shared" si="22"/>
        <v/>
      </c>
      <c r="G132" t="str">
        <f t="shared" si="23"/>
        <v/>
      </c>
      <c r="CT132" t="str">
        <f t="shared" si="24"/>
        <v/>
      </c>
      <c r="CU132" s="33" t="str">
        <f>IFERROR(VLOOKUP(Procv!R132,Procv!$C$1:$D$21,2,0),"")</f>
        <v/>
      </c>
    </row>
    <row r="133" spans="1:99" x14ac:dyDescent="0.25">
      <c r="A133" t="str">
        <f>IF('DADOS CSV'!J134="","",'DADOS CSV'!J134)</f>
        <v/>
      </c>
      <c r="B133" s="30" t="str">
        <f>IF('DADOS CSV'!N134="","",'DADOS CSV'!N134)</f>
        <v/>
      </c>
      <c r="C133" t="str">
        <f t="shared" si="20"/>
        <v/>
      </c>
      <c r="D133" t="str">
        <f t="shared" si="21"/>
        <v/>
      </c>
      <c r="E133" s="30" t="str">
        <f>IF('DADOS CSV'!O134="","",'DADOS CSV'!O134)</f>
        <v/>
      </c>
      <c r="F133" t="str">
        <f t="shared" si="22"/>
        <v/>
      </c>
      <c r="G133" t="str">
        <f t="shared" si="23"/>
        <v/>
      </c>
      <c r="CT133" t="str">
        <f t="shared" si="24"/>
        <v/>
      </c>
      <c r="CU133" s="33" t="str">
        <f>IFERROR(VLOOKUP(Procv!R133,Procv!$C$1:$D$21,2,0),"")</f>
        <v/>
      </c>
    </row>
    <row r="134" spans="1:99" x14ac:dyDescent="0.25">
      <c r="A134" t="str">
        <f>IF('DADOS CSV'!J135="","",'DADOS CSV'!J135)</f>
        <v/>
      </c>
      <c r="B134" s="30" t="str">
        <f>IF('DADOS CSV'!N135="","",'DADOS CSV'!N135)</f>
        <v/>
      </c>
      <c r="C134" t="str">
        <f t="shared" si="20"/>
        <v/>
      </c>
      <c r="D134" t="str">
        <f t="shared" si="21"/>
        <v/>
      </c>
      <c r="E134" s="30" t="str">
        <f>IF('DADOS CSV'!O135="","",'DADOS CSV'!O135)</f>
        <v/>
      </c>
      <c r="F134" t="str">
        <f t="shared" si="22"/>
        <v/>
      </c>
      <c r="G134" t="str">
        <f t="shared" si="23"/>
        <v/>
      </c>
      <c r="CT134" t="str">
        <f t="shared" si="24"/>
        <v/>
      </c>
      <c r="CU134" s="33" t="str">
        <f>IFERROR(VLOOKUP(Procv!R134,Procv!$C$1:$D$21,2,0),"")</f>
        <v/>
      </c>
    </row>
    <row r="135" spans="1:99" x14ac:dyDescent="0.25">
      <c r="A135" t="str">
        <f>IF('DADOS CSV'!J136="","",'DADOS CSV'!J136)</f>
        <v/>
      </c>
      <c r="B135" s="30" t="str">
        <f>IF('DADOS CSV'!N136="","",'DADOS CSV'!N136)</f>
        <v/>
      </c>
      <c r="C135" t="str">
        <f t="shared" si="20"/>
        <v/>
      </c>
      <c r="D135" t="str">
        <f t="shared" si="21"/>
        <v/>
      </c>
      <c r="E135" s="30" t="str">
        <f>IF('DADOS CSV'!O136="","",'DADOS CSV'!O136)</f>
        <v/>
      </c>
      <c r="F135" t="str">
        <f t="shared" si="22"/>
        <v/>
      </c>
      <c r="G135" t="str">
        <f t="shared" si="23"/>
        <v/>
      </c>
      <c r="CT135" t="str">
        <f t="shared" si="24"/>
        <v/>
      </c>
      <c r="CU135" s="33" t="str">
        <f>IFERROR(VLOOKUP(Procv!R135,Procv!$C$1:$D$21,2,0),"")</f>
        <v/>
      </c>
    </row>
    <row r="136" spans="1:99" x14ac:dyDescent="0.25">
      <c r="A136" t="str">
        <f>IF('DADOS CSV'!J137="","",'DADOS CSV'!J137)</f>
        <v/>
      </c>
      <c r="B136" s="30" t="str">
        <f>IF('DADOS CSV'!N137="","",'DADOS CSV'!N137)</f>
        <v/>
      </c>
      <c r="C136" t="str">
        <f t="shared" si="20"/>
        <v/>
      </c>
      <c r="D136" t="str">
        <f t="shared" si="21"/>
        <v/>
      </c>
      <c r="E136" s="30" t="str">
        <f>IF('DADOS CSV'!O137="","",'DADOS CSV'!O137)</f>
        <v/>
      </c>
      <c r="F136" t="str">
        <f t="shared" si="22"/>
        <v/>
      </c>
      <c r="G136" t="str">
        <f t="shared" si="23"/>
        <v/>
      </c>
      <c r="CT136" t="str">
        <f t="shared" si="24"/>
        <v/>
      </c>
      <c r="CU136" s="33" t="str">
        <f>IFERROR(VLOOKUP(Procv!R136,Procv!$C$1:$D$21,2,0),"")</f>
        <v/>
      </c>
    </row>
    <row r="137" spans="1:99" x14ac:dyDescent="0.25">
      <c r="A137" t="str">
        <f>IF('DADOS CSV'!J138="","",'DADOS CSV'!J138)</f>
        <v/>
      </c>
      <c r="B137" s="30" t="str">
        <f>IF('DADOS CSV'!N138="","",'DADOS CSV'!N138)</f>
        <v/>
      </c>
      <c r="C137" t="str">
        <f t="shared" si="20"/>
        <v/>
      </c>
      <c r="D137" t="str">
        <f t="shared" si="21"/>
        <v/>
      </c>
      <c r="E137" s="30" t="str">
        <f>IF('DADOS CSV'!O138="","",'DADOS CSV'!O138)</f>
        <v/>
      </c>
      <c r="F137" t="str">
        <f t="shared" si="22"/>
        <v/>
      </c>
      <c r="G137" t="str">
        <f t="shared" si="23"/>
        <v/>
      </c>
      <c r="CT137" t="str">
        <f t="shared" si="24"/>
        <v/>
      </c>
      <c r="CU137" s="33" t="str">
        <f>IFERROR(VLOOKUP(Procv!R137,Procv!$C$1:$D$21,2,0),"")</f>
        <v/>
      </c>
    </row>
    <row r="138" spans="1:99" x14ac:dyDescent="0.25">
      <c r="A138" t="str">
        <f>IF('DADOS CSV'!J139="","",'DADOS CSV'!J139)</f>
        <v/>
      </c>
      <c r="B138" s="30" t="str">
        <f>IF('DADOS CSV'!N139="","",'DADOS CSV'!N139)</f>
        <v/>
      </c>
      <c r="C138" t="str">
        <f t="shared" si="20"/>
        <v/>
      </c>
      <c r="D138" t="str">
        <f t="shared" si="21"/>
        <v/>
      </c>
      <c r="E138" s="30" t="str">
        <f>IF('DADOS CSV'!O139="","",'DADOS CSV'!O139)</f>
        <v/>
      </c>
      <c r="F138" t="str">
        <f t="shared" si="22"/>
        <v/>
      </c>
      <c r="G138" t="str">
        <f t="shared" si="23"/>
        <v/>
      </c>
      <c r="CT138" t="str">
        <f t="shared" si="24"/>
        <v/>
      </c>
      <c r="CU138" s="33" t="str">
        <f>IFERROR(VLOOKUP(Procv!R138,Procv!$C$1:$D$21,2,0),"")</f>
        <v/>
      </c>
    </row>
    <row r="139" spans="1:99" x14ac:dyDescent="0.25">
      <c r="A139" t="str">
        <f>IF('DADOS CSV'!J140="","",'DADOS CSV'!J140)</f>
        <v/>
      </c>
      <c r="B139" s="30" t="str">
        <f>IF('DADOS CSV'!N140="","",'DADOS CSV'!N140)</f>
        <v/>
      </c>
      <c r="C139" t="str">
        <f t="shared" si="20"/>
        <v/>
      </c>
      <c r="D139" t="str">
        <f t="shared" si="21"/>
        <v/>
      </c>
      <c r="E139" s="30" t="str">
        <f>IF('DADOS CSV'!O140="","",'DADOS CSV'!O140)</f>
        <v/>
      </c>
      <c r="F139" t="str">
        <f t="shared" si="22"/>
        <v/>
      </c>
      <c r="G139" t="str">
        <f t="shared" si="23"/>
        <v/>
      </c>
      <c r="CT139" t="str">
        <f t="shared" si="24"/>
        <v/>
      </c>
      <c r="CU139" s="33" t="str">
        <f>IFERROR(VLOOKUP(Procv!R139,Procv!$C$1:$D$21,2,0),"")</f>
        <v/>
      </c>
    </row>
    <row r="140" spans="1:99" x14ac:dyDescent="0.25">
      <c r="A140" t="str">
        <f>IF('DADOS CSV'!J141="","",'DADOS CSV'!J141)</f>
        <v/>
      </c>
      <c r="B140" s="30" t="str">
        <f>IF('DADOS CSV'!N141="","",'DADOS CSV'!N141)</f>
        <v/>
      </c>
      <c r="C140" t="str">
        <f t="shared" si="20"/>
        <v/>
      </c>
      <c r="D140" t="str">
        <f t="shared" si="21"/>
        <v/>
      </c>
      <c r="E140" s="30" t="str">
        <f>IF('DADOS CSV'!O141="","",'DADOS CSV'!O141)</f>
        <v/>
      </c>
      <c r="F140" t="str">
        <f t="shared" si="22"/>
        <v/>
      </c>
      <c r="G140" t="str">
        <f t="shared" si="23"/>
        <v/>
      </c>
      <c r="CT140" t="str">
        <f t="shared" si="24"/>
        <v/>
      </c>
      <c r="CU140" s="33" t="str">
        <f>IFERROR(VLOOKUP(Procv!R140,Procv!$C$1:$D$21,2,0),"")</f>
        <v/>
      </c>
    </row>
    <row r="141" spans="1:99" x14ac:dyDescent="0.25">
      <c r="A141" t="str">
        <f>IF('DADOS CSV'!J142="","",'DADOS CSV'!J142)</f>
        <v/>
      </c>
      <c r="B141" s="30" t="str">
        <f>IF('DADOS CSV'!N142="","",'DADOS CSV'!N142)</f>
        <v/>
      </c>
      <c r="C141" t="str">
        <f t="shared" si="20"/>
        <v/>
      </c>
      <c r="D141" t="str">
        <f t="shared" si="21"/>
        <v/>
      </c>
      <c r="E141" s="30" t="str">
        <f>IF('DADOS CSV'!O142="","",'DADOS CSV'!O142)</f>
        <v/>
      </c>
      <c r="F141" t="str">
        <f t="shared" si="22"/>
        <v/>
      </c>
      <c r="G141" t="str">
        <f t="shared" si="23"/>
        <v/>
      </c>
      <c r="CT141" t="str">
        <f t="shared" si="24"/>
        <v/>
      </c>
      <c r="CU141" s="33" t="str">
        <f>IFERROR(VLOOKUP(Procv!R141,Procv!$C$1:$D$21,2,0),"")</f>
        <v/>
      </c>
    </row>
    <row r="142" spans="1:99" x14ac:dyDescent="0.25">
      <c r="A142" t="str">
        <f>IF('DADOS CSV'!J143="","",'DADOS CSV'!J143)</f>
        <v/>
      </c>
      <c r="B142" s="30" t="str">
        <f>IF('DADOS CSV'!N143="","",'DADOS CSV'!N143)</f>
        <v/>
      </c>
      <c r="C142" t="str">
        <f t="shared" si="20"/>
        <v/>
      </c>
      <c r="D142" t="str">
        <f t="shared" si="21"/>
        <v/>
      </c>
      <c r="E142" s="30" t="str">
        <f>IF('DADOS CSV'!O143="","",'DADOS CSV'!O143)</f>
        <v/>
      </c>
      <c r="F142" t="str">
        <f t="shared" si="22"/>
        <v/>
      </c>
      <c r="G142" t="str">
        <f t="shared" si="23"/>
        <v/>
      </c>
      <c r="CT142" t="str">
        <f t="shared" si="24"/>
        <v/>
      </c>
      <c r="CU142" s="33" t="str">
        <f>IFERROR(VLOOKUP(Procv!R142,Procv!$C$1:$D$21,2,0),"")</f>
        <v/>
      </c>
    </row>
    <row r="143" spans="1:99" x14ac:dyDescent="0.25">
      <c r="A143" t="str">
        <f>IF('DADOS CSV'!J144="","",'DADOS CSV'!J144)</f>
        <v/>
      </c>
      <c r="B143" s="30" t="str">
        <f>IF('DADOS CSV'!N144="","",'DADOS CSV'!N144)</f>
        <v/>
      </c>
      <c r="C143" t="str">
        <f t="shared" si="20"/>
        <v/>
      </c>
      <c r="D143" t="str">
        <f t="shared" si="21"/>
        <v/>
      </c>
      <c r="E143" s="30" t="str">
        <f>IF('DADOS CSV'!O144="","",'DADOS CSV'!O144)</f>
        <v/>
      </c>
      <c r="F143" t="str">
        <f t="shared" si="22"/>
        <v/>
      </c>
      <c r="G143" t="str">
        <f t="shared" si="23"/>
        <v/>
      </c>
      <c r="CT143" t="str">
        <f t="shared" si="24"/>
        <v/>
      </c>
      <c r="CU143" s="33" t="str">
        <f>IFERROR(VLOOKUP(Procv!R143,Procv!$C$1:$D$21,2,0),"")</f>
        <v/>
      </c>
    </row>
    <row r="144" spans="1:99" x14ac:dyDescent="0.25">
      <c r="A144" t="str">
        <f>IF('DADOS CSV'!J145="","",'DADOS CSV'!J145)</f>
        <v/>
      </c>
      <c r="B144" s="30" t="str">
        <f>IF('DADOS CSV'!N145="","",'DADOS CSV'!N145)</f>
        <v/>
      </c>
      <c r="C144" t="str">
        <f t="shared" si="20"/>
        <v/>
      </c>
      <c r="D144" t="str">
        <f t="shared" si="21"/>
        <v/>
      </c>
      <c r="E144" s="30" t="str">
        <f>IF('DADOS CSV'!O145="","",'DADOS CSV'!O145)</f>
        <v/>
      </c>
      <c r="F144" t="str">
        <f t="shared" si="22"/>
        <v/>
      </c>
      <c r="G144" t="str">
        <f t="shared" si="23"/>
        <v/>
      </c>
      <c r="CT144" t="str">
        <f t="shared" si="24"/>
        <v/>
      </c>
      <c r="CU144" s="33" t="str">
        <f>IFERROR(VLOOKUP(Procv!R144,Procv!$C$1:$D$21,2,0),"")</f>
        <v/>
      </c>
    </row>
    <row r="145" spans="1:99" x14ac:dyDescent="0.25">
      <c r="A145" t="str">
        <f>IF('DADOS CSV'!J146="","",'DADOS CSV'!J146)</f>
        <v/>
      </c>
      <c r="B145" s="30" t="str">
        <f>IF('DADOS CSV'!N146="","",'DADOS CSV'!N146)</f>
        <v/>
      </c>
      <c r="C145" t="str">
        <f t="shared" si="20"/>
        <v/>
      </c>
      <c r="D145" t="str">
        <f t="shared" si="21"/>
        <v/>
      </c>
      <c r="E145" s="30" t="str">
        <f>IF('DADOS CSV'!O146="","",'DADOS CSV'!O146)</f>
        <v/>
      </c>
      <c r="F145" t="str">
        <f t="shared" si="22"/>
        <v/>
      </c>
      <c r="G145" t="str">
        <f t="shared" si="23"/>
        <v/>
      </c>
      <c r="CT145" t="str">
        <f t="shared" si="24"/>
        <v/>
      </c>
      <c r="CU145" s="33" t="str">
        <f>IFERROR(VLOOKUP(Procv!R145,Procv!$C$1:$D$21,2,0),"")</f>
        <v/>
      </c>
    </row>
    <row r="146" spans="1:99" x14ac:dyDescent="0.25">
      <c r="A146" t="str">
        <f>IF('DADOS CSV'!J147="","",'DADOS CSV'!J147)</f>
        <v/>
      </c>
      <c r="B146" s="30" t="str">
        <f>IF('DADOS CSV'!N147="","",'DADOS CSV'!N147)</f>
        <v/>
      </c>
      <c r="C146" t="str">
        <f t="shared" si="20"/>
        <v/>
      </c>
      <c r="D146" t="str">
        <f t="shared" si="21"/>
        <v/>
      </c>
      <c r="E146" s="30" t="str">
        <f>IF('DADOS CSV'!O147="","",'DADOS CSV'!O147)</f>
        <v/>
      </c>
      <c r="F146" t="str">
        <f t="shared" si="22"/>
        <v/>
      </c>
      <c r="G146" t="str">
        <f t="shared" si="23"/>
        <v/>
      </c>
      <c r="CT146" t="str">
        <f t="shared" si="24"/>
        <v/>
      </c>
      <c r="CU146" s="33" t="str">
        <f>IFERROR(VLOOKUP(Procv!R146,Procv!$C$1:$D$21,2,0),"")</f>
        <v/>
      </c>
    </row>
    <row r="147" spans="1:99" x14ac:dyDescent="0.25">
      <c r="A147" t="str">
        <f>IF('DADOS CSV'!J148="","",'DADOS CSV'!J148)</f>
        <v/>
      </c>
      <c r="B147" s="30" t="str">
        <f>IF('DADOS CSV'!N148="","",'DADOS CSV'!N148)</f>
        <v/>
      </c>
      <c r="C147" t="str">
        <f t="shared" si="20"/>
        <v/>
      </c>
      <c r="D147" t="str">
        <f t="shared" si="21"/>
        <v/>
      </c>
      <c r="E147" s="30" t="str">
        <f>IF('DADOS CSV'!O148="","",'DADOS CSV'!O148)</f>
        <v/>
      </c>
      <c r="F147" t="str">
        <f t="shared" si="22"/>
        <v/>
      </c>
      <c r="G147" t="str">
        <f t="shared" si="23"/>
        <v/>
      </c>
      <c r="CT147" t="str">
        <f t="shared" si="24"/>
        <v/>
      </c>
      <c r="CU147" s="33" t="str">
        <f>IFERROR(VLOOKUP(Procv!R147,Procv!$C$1:$D$21,2,0),"")</f>
        <v/>
      </c>
    </row>
    <row r="148" spans="1:99" x14ac:dyDescent="0.25">
      <c r="A148" t="str">
        <f>IF('DADOS CSV'!J149="","",'DADOS CSV'!J149)</f>
        <v/>
      </c>
      <c r="B148" s="30" t="str">
        <f>IF('DADOS CSV'!N149="","",'DADOS CSV'!N149)</f>
        <v/>
      </c>
      <c r="C148" t="str">
        <f t="shared" si="20"/>
        <v/>
      </c>
      <c r="D148" t="str">
        <f t="shared" si="21"/>
        <v/>
      </c>
      <c r="E148" s="30" t="str">
        <f>IF('DADOS CSV'!O149="","",'DADOS CSV'!O149)</f>
        <v/>
      </c>
      <c r="F148" t="str">
        <f t="shared" si="22"/>
        <v/>
      </c>
      <c r="G148" t="str">
        <f t="shared" si="23"/>
        <v/>
      </c>
      <c r="CT148" t="str">
        <f t="shared" si="24"/>
        <v/>
      </c>
      <c r="CU148" s="33" t="str">
        <f>IFERROR(VLOOKUP(Procv!R148,Procv!$C$1:$D$21,2,0),"")</f>
        <v/>
      </c>
    </row>
    <row r="149" spans="1:99" x14ac:dyDescent="0.25">
      <c r="A149" t="str">
        <f>IF('DADOS CSV'!J150="","",'DADOS CSV'!J150)</f>
        <v/>
      </c>
      <c r="B149" s="30" t="str">
        <f>IF('DADOS CSV'!N150="","",'DADOS CSV'!N150)</f>
        <v/>
      </c>
      <c r="C149" t="str">
        <f t="shared" si="20"/>
        <v/>
      </c>
      <c r="D149" t="str">
        <f t="shared" si="21"/>
        <v/>
      </c>
      <c r="E149" s="30" t="str">
        <f>IF('DADOS CSV'!O150="","",'DADOS CSV'!O150)</f>
        <v/>
      </c>
      <c r="F149" t="str">
        <f t="shared" si="22"/>
        <v/>
      </c>
      <c r="G149" t="str">
        <f t="shared" si="23"/>
        <v/>
      </c>
      <c r="CT149" t="str">
        <f t="shared" si="24"/>
        <v/>
      </c>
      <c r="CU149" s="33" t="str">
        <f>IFERROR(VLOOKUP(Procv!R149,Procv!$C$1:$D$21,2,0),"")</f>
        <v/>
      </c>
    </row>
    <row r="150" spans="1:99" x14ac:dyDescent="0.25">
      <c r="A150" t="str">
        <f>IF('DADOS CSV'!J151="","",'DADOS CSV'!J151)</f>
        <v/>
      </c>
      <c r="B150" s="30" t="str">
        <f>IF('DADOS CSV'!N151="","",'DADOS CSV'!N151)</f>
        <v/>
      </c>
      <c r="C150" t="str">
        <f t="shared" si="20"/>
        <v/>
      </c>
      <c r="D150" t="str">
        <f t="shared" si="21"/>
        <v/>
      </c>
      <c r="E150" s="30" t="str">
        <f>IF('DADOS CSV'!O151="","",'DADOS CSV'!O151)</f>
        <v/>
      </c>
      <c r="F150" t="str">
        <f t="shared" si="22"/>
        <v/>
      </c>
      <c r="G150" t="str">
        <f t="shared" si="23"/>
        <v/>
      </c>
      <c r="CT150" t="str">
        <f t="shared" si="24"/>
        <v/>
      </c>
      <c r="CU150" s="33" t="str">
        <f>IFERROR(VLOOKUP(Procv!R150,Procv!$C$1:$D$21,2,0),"")</f>
        <v/>
      </c>
    </row>
    <row r="151" spans="1:99" x14ac:dyDescent="0.25">
      <c r="A151" t="str">
        <f>IF('DADOS CSV'!J152="","",'DADOS CSV'!J152)</f>
        <v/>
      </c>
      <c r="B151" s="30" t="str">
        <f>IF('DADOS CSV'!N152="","",'DADOS CSV'!N152)</f>
        <v/>
      </c>
      <c r="C151" t="str">
        <f t="shared" si="20"/>
        <v/>
      </c>
      <c r="D151" t="str">
        <f t="shared" si="21"/>
        <v/>
      </c>
      <c r="E151" s="30" t="str">
        <f>IF('DADOS CSV'!O152="","",'DADOS CSV'!O152)</f>
        <v/>
      </c>
      <c r="F151" t="str">
        <f t="shared" si="22"/>
        <v/>
      </c>
      <c r="G151" t="str">
        <f t="shared" si="23"/>
        <v/>
      </c>
      <c r="CT151" t="str">
        <f t="shared" si="24"/>
        <v/>
      </c>
      <c r="CU151" s="33" t="str">
        <f>IFERROR(VLOOKUP(Procv!R151,Procv!$C$1:$D$21,2,0),"")</f>
        <v/>
      </c>
    </row>
    <row r="152" spans="1:99" x14ac:dyDescent="0.25">
      <c r="A152" t="str">
        <f>IF('DADOS CSV'!J153="","",'DADOS CSV'!J153)</f>
        <v/>
      </c>
      <c r="B152" s="30" t="str">
        <f>IF('DADOS CSV'!N153="","",'DADOS CSV'!N153)</f>
        <v/>
      </c>
      <c r="C152" t="str">
        <f t="shared" si="20"/>
        <v/>
      </c>
      <c r="D152" t="str">
        <f t="shared" si="21"/>
        <v/>
      </c>
      <c r="E152" s="30" t="str">
        <f>IF('DADOS CSV'!O153="","",'DADOS CSV'!O153)</f>
        <v/>
      </c>
      <c r="F152" t="str">
        <f t="shared" si="22"/>
        <v/>
      </c>
      <c r="G152" t="str">
        <f t="shared" si="23"/>
        <v/>
      </c>
      <c r="CT152" t="str">
        <f t="shared" si="24"/>
        <v/>
      </c>
      <c r="CU152" s="33" t="str">
        <f>IFERROR(VLOOKUP(Procv!R152,Procv!$C$1:$D$21,2,0),"")</f>
        <v/>
      </c>
    </row>
    <row r="153" spans="1:99" x14ac:dyDescent="0.25">
      <c r="A153" t="str">
        <f>IF('DADOS CSV'!J154="","",'DADOS CSV'!J154)</f>
        <v/>
      </c>
      <c r="B153" s="30" t="str">
        <f>IF('DADOS CSV'!N154="","",'DADOS CSV'!N154)</f>
        <v/>
      </c>
      <c r="C153" t="str">
        <f t="shared" si="20"/>
        <v/>
      </c>
      <c r="D153" t="str">
        <f t="shared" si="21"/>
        <v/>
      </c>
      <c r="E153" s="30" t="str">
        <f>IF('DADOS CSV'!O154="","",'DADOS CSV'!O154)</f>
        <v/>
      </c>
      <c r="F153" t="str">
        <f t="shared" si="22"/>
        <v/>
      </c>
      <c r="G153" t="str">
        <f t="shared" si="23"/>
        <v/>
      </c>
      <c r="CT153" t="str">
        <f t="shared" si="24"/>
        <v/>
      </c>
      <c r="CU153" s="33" t="str">
        <f>IFERROR(VLOOKUP(Procv!R153,Procv!$C$1:$D$21,2,0),"")</f>
        <v/>
      </c>
    </row>
    <row r="154" spans="1:99" x14ac:dyDescent="0.25">
      <c r="A154" t="str">
        <f>IF('DADOS CSV'!J155="","",'DADOS CSV'!J155)</f>
        <v/>
      </c>
      <c r="B154" s="30" t="str">
        <f>IF('DADOS CSV'!N155="","",'DADOS CSV'!N155)</f>
        <v/>
      </c>
      <c r="C154" t="str">
        <f t="shared" si="20"/>
        <v/>
      </c>
      <c r="D154" t="str">
        <f t="shared" si="21"/>
        <v/>
      </c>
      <c r="E154" s="30" t="str">
        <f>IF('DADOS CSV'!O155="","",'DADOS CSV'!O155)</f>
        <v/>
      </c>
      <c r="F154" t="str">
        <f t="shared" si="22"/>
        <v/>
      </c>
      <c r="G154" t="str">
        <f t="shared" si="23"/>
        <v/>
      </c>
      <c r="CT154" t="str">
        <f t="shared" si="24"/>
        <v/>
      </c>
      <c r="CU154" s="33" t="str">
        <f>IFERROR(VLOOKUP(Procv!R154,Procv!$C$1:$D$21,2,0),"")</f>
        <v/>
      </c>
    </row>
    <row r="155" spans="1:99" x14ac:dyDescent="0.25">
      <c r="A155" t="str">
        <f>IF('DADOS CSV'!J156="","",'DADOS CSV'!J156)</f>
        <v/>
      </c>
      <c r="B155" s="30" t="str">
        <f>IF('DADOS CSV'!N156="","",'DADOS CSV'!N156)</f>
        <v/>
      </c>
      <c r="C155" t="str">
        <f t="shared" si="20"/>
        <v/>
      </c>
      <c r="D155" t="str">
        <f t="shared" si="21"/>
        <v/>
      </c>
      <c r="E155" s="30" t="str">
        <f>IF('DADOS CSV'!O156="","",'DADOS CSV'!O156)</f>
        <v/>
      </c>
      <c r="F155" t="str">
        <f t="shared" si="22"/>
        <v/>
      </c>
      <c r="G155" t="str">
        <f t="shared" si="23"/>
        <v/>
      </c>
      <c r="CT155" t="str">
        <f t="shared" si="24"/>
        <v/>
      </c>
      <c r="CU155" s="33" t="str">
        <f>IFERROR(VLOOKUP(Procv!R155,Procv!$C$1:$D$21,2,0),"")</f>
        <v/>
      </c>
    </row>
    <row r="156" spans="1:99" x14ac:dyDescent="0.25">
      <c r="A156" t="str">
        <f>IF('DADOS CSV'!J157="","",'DADOS CSV'!J157)</f>
        <v/>
      </c>
      <c r="B156" s="30" t="str">
        <f>IF('DADOS CSV'!N157="","",'DADOS CSV'!N157)</f>
        <v/>
      </c>
      <c r="C156" t="str">
        <f t="shared" si="20"/>
        <v/>
      </c>
      <c r="D156" t="str">
        <f t="shared" si="21"/>
        <v/>
      </c>
      <c r="E156" s="30" t="str">
        <f>IF('DADOS CSV'!O157="","",'DADOS CSV'!O157)</f>
        <v/>
      </c>
      <c r="F156" t="str">
        <f t="shared" si="22"/>
        <v/>
      </c>
      <c r="G156" t="str">
        <f t="shared" si="23"/>
        <v/>
      </c>
      <c r="CT156" t="str">
        <f t="shared" si="24"/>
        <v/>
      </c>
      <c r="CU156" s="33" t="str">
        <f>IFERROR(VLOOKUP(Procv!R156,Procv!$C$1:$D$21,2,0),"")</f>
        <v/>
      </c>
    </row>
    <row r="157" spans="1:99" x14ac:dyDescent="0.25">
      <c r="A157" t="str">
        <f>IF('DADOS CSV'!J158="","",'DADOS CSV'!J158)</f>
        <v/>
      </c>
      <c r="B157" s="30" t="str">
        <f>IF('DADOS CSV'!N158="","",'DADOS CSV'!N158)</f>
        <v/>
      </c>
      <c r="C157" t="str">
        <f t="shared" si="20"/>
        <v/>
      </c>
      <c r="D157" t="str">
        <f t="shared" si="21"/>
        <v/>
      </c>
      <c r="E157" s="30" t="str">
        <f>IF('DADOS CSV'!O158="","",'DADOS CSV'!O158)</f>
        <v/>
      </c>
      <c r="F157" t="str">
        <f t="shared" si="22"/>
        <v/>
      </c>
      <c r="G157" t="str">
        <f t="shared" si="23"/>
        <v/>
      </c>
      <c r="CT157" t="str">
        <f t="shared" si="24"/>
        <v/>
      </c>
      <c r="CU157" s="33" t="str">
        <f>IFERROR(VLOOKUP(Procv!R157,Procv!$C$1:$D$21,2,0),"")</f>
        <v/>
      </c>
    </row>
    <row r="158" spans="1:99" x14ac:dyDescent="0.25">
      <c r="A158" t="str">
        <f>IF('DADOS CSV'!J159="","",'DADOS CSV'!J159)</f>
        <v/>
      </c>
      <c r="B158" s="30" t="str">
        <f>IF('DADOS CSV'!N159="","",'DADOS CSV'!N159)</f>
        <v/>
      </c>
      <c r="C158" t="str">
        <f t="shared" si="20"/>
        <v/>
      </c>
      <c r="D158" t="str">
        <f t="shared" si="21"/>
        <v/>
      </c>
      <c r="E158" s="30" t="str">
        <f>IF('DADOS CSV'!O159="","",'DADOS CSV'!O159)</f>
        <v/>
      </c>
      <c r="F158" t="str">
        <f t="shared" si="22"/>
        <v/>
      </c>
      <c r="G158" t="str">
        <f t="shared" si="23"/>
        <v/>
      </c>
      <c r="CT158" t="str">
        <f t="shared" si="24"/>
        <v/>
      </c>
      <c r="CU158" s="33" t="str">
        <f>IFERROR(VLOOKUP(Procv!R158,Procv!$C$1:$D$21,2,0),"")</f>
        <v/>
      </c>
    </row>
    <row r="159" spans="1:99" x14ac:dyDescent="0.25">
      <c r="A159" t="str">
        <f>IF('DADOS CSV'!J160="","",'DADOS CSV'!J160)</f>
        <v/>
      </c>
      <c r="B159" s="30" t="str">
        <f>IF('DADOS CSV'!N160="","",'DADOS CSV'!N160)</f>
        <v/>
      </c>
      <c r="C159" t="str">
        <f t="shared" si="20"/>
        <v/>
      </c>
      <c r="D159" t="str">
        <f t="shared" si="21"/>
        <v/>
      </c>
      <c r="E159" s="30" t="str">
        <f>IF('DADOS CSV'!O160="","",'DADOS CSV'!O160)</f>
        <v/>
      </c>
      <c r="F159" t="str">
        <f t="shared" si="22"/>
        <v/>
      </c>
      <c r="G159" t="str">
        <f t="shared" si="23"/>
        <v/>
      </c>
      <c r="CT159" t="str">
        <f t="shared" si="24"/>
        <v/>
      </c>
      <c r="CU159" s="33" t="str">
        <f>IFERROR(VLOOKUP(Procv!R159,Procv!$C$1:$D$21,2,0),"")</f>
        <v/>
      </c>
    </row>
    <row r="160" spans="1:99" x14ac:dyDescent="0.25">
      <c r="A160" t="str">
        <f>IF('DADOS CSV'!J161="","",'DADOS CSV'!J161)</f>
        <v/>
      </c>
      <c r="B160" s="30" t="str">
        <f>IF('DADOS CSV'!N161="","",'DADOS CSV'!N161)</f>
        <v/>
      </c>
      <c r="C160" t="str">
        <f t="shared" si="20"/>
        <v/>
      </c>
      <c r="D160" t="str">
        <f t="shared" si="21"/>
        <v/>
      </c>
      <c r="E160" s="30" t="str">
        <f>IF('DADOS CSV'!O161="","",'DADOS CSV'!O161)</f>
        <v/>
      </c>
      <c r="F160" t="str">
        <f t="shared" si="22"/>
        <v/>
      </c>
      <c r="G160" t="str">
        <f t="shared" si="23"/>
        <v/>
      </c>
      <c r="CT160" t="str">
        <f t="shared" si="24"/>
        <v/>
      </c>
      <c r="CU160" s="33" t="str">
        <f>IFERROR(VLOOKUP(Procv!R160,Procv!$C$1:$D$21,2,0),"")</f>
        <v/>
      </c>
    </row>
    <row r="161" spans="1:99" x14ac:dyDescent="0.25">
      <c r="A161" t="str">
        <f>IF('DADOS CSV'!J162="","",'DADOS CSV'!J162)</f>
        <v/>
      </c>
      <c r="B161" s="30" t="str">
        <f>IF('DADOS CSV'!N162="","",'DADOS CSV'!N162)</f>
        <v/>
      </c>
      <c r="C161" t="str">
        <f t="shared" si="20"/>
        <v/>
      </c>
      <c r="D161" t="str">
        <f t="shared" si="21"/>
        <v/>
      </c>
      <c r="E161" s="30" t="str">
        <f>IF('DADOS CSV'!O162="","",'DADOS CSV'!O162)</f>
        <v/>
      </c>
      <c r="F161" t="str">
        <f t="shared" si="22"/>
        <v/>
      </c>
      <c r="G161" t="str">
        <f t="shared" si="23"/>
        <v/>
      </c>
      <c r="CT161" t="str">
        <f t="shared" si="24"/>
        <v/>
      </c>
      <c r="CU161" s="33" t="str">
        <f>IFERROR(VLOOKUP(Procv!R161,Procv!$C$1:$D$21,2,0),"")</f>
        <v/>
      </c>
    </row>
    <row r="162" spans="1:99" x14ac:dyDescent="0.25">
      <c r="A162" t="str">
        <f>IF('DADOS CSV'!J163="","",'DADOS CSV'!J163)</f>
        <v/>
      </c>
      <c r="B162" s="30" t="str">
        <f>IF('DADOS CSV'!N163="","",'DADOS CSV'!N163)</f>
        <v/>
      </c>
      <c r="C162" t="str">
        <f t="shared" si="20"/>
        <v/>
      </c>
      <c r="D162" t="str">
        <f t="shared" si="21"/>
        <v/>
      </c>
      <c r="E162" s="30" t="str">
        <f>IF('DADOS CSV'!O163="","",'DADOS CSV'!O163)</f>
        <v/>
      </c>
      <c r="F162" t="str">
        <f t="shared" si="22"/>
        <v/>
      </c>
      <c r="G162" t="str">
        <f t="shared" si="23"/>
        <v/>
      </c>
      <c r="CT162" t="str">
        <f t="shared" si="24"/>
        <v/>
      </c>
      <c r="CU162" s="33" t="str">
        <f>IFERROR(VLOOKUP(Procv!R162,Procv!$C$1:$D$21,2,0),"")</f>
        <v/>
      </c>
    </row>
    <row r="163" spans="1:99" x14ac:dyDescent="0.25">
      <c r="A163" t="str">
        <f>IF('DADOS CSV'!J164="","",'DADOS CSV'!J164)</f>
        <v/>
      </c>
      <c r="B163" s="30" t="str">
        <f>IF('DADOS CSV'!N164="","",'DADOS CSV'!N164)</f>
        <v/>
      </c>
      <c r="C163" t="str">
        <f t="shared" ref="C163:C199" si="25">IF(A163="","",$C$2)</f>
        <v/>
      </c>
      <c r="D163" t="str">
        <f t="shared" ref="D163:D199" si="26">IF(A163="","",$D$2)</f>
        <v/>
      </c>
      <c r="E163" s="30" t="str">
        <f>IF('DADOS CSV'!O164="","",'DADOS CSV'!O164)</f>
        <v/>
      </c>
      <c r="F163" t="str">
        <f t="shared" ref="F163:F199" si="27">IF(A163="","",$F$2)</f>
        <v/>
      </c>
      <c r="G163" t="str">
        <f t="shared" ref="G163:G199" si="28">IF(A163="","",$G$2)</f>
        <v/>
      </c>
      <c r="CT163" t="str">
        <f t="shared" ref="CT163:CT199" si="29">IF(A163="","",$CT$2)</f>
        <v/>
      </c>
      <c r="CU163" s="33" t="str">
        <f>IFERROR(VLOOKUP(Procv!R163,Procv!$C$1:$D$21,2,0),"")</f>
        <v/>
      </c>
    </row>
    <row r="164" spans="1:99" x14ac:dyDescent="0.25">
      <c r="A164" t="str">
        <f>IF('DADOS CSV'!J165="","",'DADOS CSV'!J165)</f>
        <v/>
      </c>
      <c r="B164" s="30" t="str">
        <f>IF('DADOS CSV'!N165="","",'DADOS CSV'!N165)</f>
        <v/>
      </c>
      <c r="C164" t="str">
        <f t="shared" si="25"/>
        <v/>
      </c>
      <c r="D164" t="str">
        <f t="shared" si="26"/>
        <v/>
      </c>
      <c r="E164" s="30" t="str">
        <f>IF('DADOS CSV'!O165="","",'DADOS CSV'!O165)</f>
        <v/>
      </c>
      <c r="F164" t="str">
        <f t="shared" si="27"/>
        <v/>
      </c>
      <c r="G164" t="str">
        <f t="shared" si="28"/>
        <v/>
      </c>
      <c r="CT164" t="str">
        <f t="shared" si="29"/>
        <v/>
      </c>
      <c r="CU164" s="33" t="str">
        <f>IFERROR(VLOOKUP(Procv!R164,Procv!$C$1:$D$21,2,0),"")</f>
        <v/>
      </c>
    </row>
    <row r="165" spans="1:99" x14ac:dyDescent="0.25">
      <c r="A165" t="str">
        <f>IF('DADOS CSV'!J166="","",'DADOS CSV'!J166)</f>
        <v/>
      </c>
      <c r="B165" s="30" t="str">
        <f>IF('DADOS CSV'!N166="","",'DADOS CSV'!N166)</f>
        <v/>
      </c>
      <c r="C165" t="str">
        <f t="shared" si="25"/>
        <v/>
      </c>
      <c r="D165" t="str">
        <f t="shared" si="26"/>
        <v/>
      </c>
      <c r="E165" s="30" t="str">
        <f>IF('DADOS CSV'!O166="","",'DADOS CSV'!O166)</f>
        <v/>
      </c>
      <c r="F165" t="str">
        <f t="shared" si="27"/>
        <v/>
      </c>
      <c r="G165" t="str">
        <f t="shared" si="28"/>
        <v/>
      </c>
      <c r="CT165" t="str">
        <f t="shared" si="29"/>
        <v/>
      </c>
      <c r="CU165" s="33" t="str">
        <f>IFERROR(VLOOKUP(Procv!R165,Procv!$C$1:$D$21,2,0),"")</f>
        <v/>
      </c>
    </row>
    <row r="166" spans="1:99" x14ac:dyDescent="0.25">
      <c r="A166" t="str">
        <f>IF('DADOS CSV'!J167="","",'DADOS CSV'!J167)</f>
        <v/>
      </c>
      <c r="B166" s="30" t="str">
        <f>IF('DADOS CSV'!N167="","",'DADOS CSV'!N167)</f>
        <v/>
      </c>
      <c r="C166" t="str">
        <f t="shared" si="25"/>
        <v/>
      </c>
      <c r="D166" t="str">
        <f t="shared" si="26"/>
        <v/>
      </c>
      <c r="E166" s="30" t="str">
        <f>IF('DADOS CSV'!O167="","",'DADOS CSV'!O167)</f>
        <v/>
      </c>
      <c r="F166" t="str">
        <f t="shared" si="27"/>
        <v/>
      </c>
      <c r="G166" t="str">
        <f t="shared" si="28"/>
        <v/>
      </c>
      <c r="CT166" t="str">
        <f t="shared" si="29"/>
        <v/>
      </c>
      <c r="CU166" s="33" t="str">
        <f>IFERROR(VLOOKUP(Procv!R166,Procv!$C$1:$D$21,2,0),"")</f>
        <v/>
      </c>
    </row>
    <row r="167" spans="1:99" x14ac:dyDescent="0.25">
      <c r="A167" t="str">
        <f>IF('DADOS CSV'!J168="","",'DADOS CSV'!J168)</f>
        <v/>
      </c>
      <c r="B167" s="30" t="str">
        <f>IF('DADOS CSV'!N168="","",'DADOS CSV'!N168)</f>
        <v/>
      </c>
      <c r="C167" t="str">
        <f t="shared" si="25"/>
        <v/>
      </c>
      <c r="D167" t="str">
        <f t="shared" si="26"/>
        <v/>
      </c>
      <c r="E167" s="30" t="str">
        <f>IF('DADOS CSV'!O168="","",'DADOS CSV'!O168)</f>
        <v/>
      </c>
      <c r="F167" t="str">
        <f t="shared" si="27"/>
        <v/>
      </c>
      <c r="G167" t="str">
        <f t="shared" si="28"/>
        <v/>
      </c>
      <c r="CT167" t="str">
        <f t="shared" si="29"/>
        <v/>
      </c>
      <c r="CU167" s="33" t="str">
        <f>IFERROR(VLOOKUP(Procv!R167,Procv!$C$1:$D$21,2,0),"")</f>
        <v/>
      </c>
    </row>
    <row r="168" spans="1:99" x14ac:dyDescent="0.25">
      <c r="A168" t="str">
        <f>IF('DADOS CSV'!J169="","",'DADOS CSV'!J169)</f>
        <v/>
      </c>
      <c r="B168" s="30" t="str">
        <f>IF('DADOS CSV'!N169="","",'DADOS CSV'!N169)</f>
        <v/>
      </c>
      <c r="C168" t="str">
        <f t="shared" si="25"/>
        <v/>
      </c>
      <c r="D168" t="str">
        <f t="shared" si="26"/>
        <v/>
      </c>
      <c r="E168" s="30" t="str">
        <f>IF('DADOS CSV'!O169="","",'DADOS CSV'!O169)</f>
        <v/>
      </c>
      <c r="F168" t="str">
        <f t="shared" si="27"/>
        <v/>
      </c>
      <c r="G168" t="str">
        <f t="shared" si="28"/>
        <v/>
      </c>
      <c r="CT168" t="str">
        <f t="shared" si="29"/>
        <v/>
      </c>
      <c r="CU168" s="33" t="str">
        <f>IFERROR(VLOOKUP(Procv!R168,Procv!$C$1:$D$21,2,0),"")</f>
        <v/>
      </c>
    </row>
    <row r="169" spans="1:99" x14ac:dyDescent="0.25">
      <c r="A169" t="str">
        <f>IF('DADOS CSV'!J170="","",'DADOS CSV'!J170)</f>
        <v/>
      </c>
      <c r="B169" s="30" t="str">
        <f>IF('DADOS CSV'!N170="","",'DADOS CSV'!N170)</f>
        <v/>
      </c>
      <c r="C169" t="str">
        <f t="shared" si="25"/>
        <v/>
      </c>
      <c r="D169" t="str">
        <f t="shared" si="26"/>
        <v/>
      </c>
      <c r="E169" s="30" t="str">
        <f>IF('DADOS CSV'!O170="","",'DADOS CSV'!O170)</f>
        <v/>
      </c>
      <c r="F169" t="str">
        <f t="shared" si="27"/>
        <v/>
      </c>
      <c r="G169" t="str">
        <f t="shared" si="28"/>
        <v/>
      </c>
      <c r="CT169" t="str">
        <f t="shared" si="29"/>
        <v/>
      </c>
      <c r="CU169" s="33" t="str">
        <f>IFERROR(VLOOKUP(Procv!R169,Procv!$C$1:$D$21,2,0),"")</f>
        <v/>
      </c>
    </row>
    <row r="170" spans="1:99" x14ac:dyDescent="0.25">
      <c r="A170" t="str">
        <f>IF('DADOS CSV'!J171="","",'DADOS CSV'!J171)</f>
        <v/>
      </c>
      <c r="B170" s="30" t="str">
        <f>IF('DADOS CSV'!N171="","",'DADOS CSV'!N171)</f>
        <v/>
      </c>
      <c r="C170" t="str">
        <f t="shared" si="25"/>
        <v/>
      </c>
      <c r="D170" t="str">
        <f t="shared" si="26"/>
        <v/>
      </c>
      <c r="E170" s="30" t="str">
        <f>IF('DADOS CSV'!O171="","",'DADOS CSV'!O171)</f>
        <v/>
      </c>
      <c r="F170" t="str">
        <f t="shared" si="27"/>
        <v/>
      </c>
      <c r="G170" t="str">
        <f t="shared" si="28"/>
        <v/>
      </c>
      <c r="CT170" t="str">
        <f t="shared" si="29"/>
        <v/>
      </c>
      <c r="CU170" s="33" t="str">
        <f>IFERROR(VLOOKUP(Procv!R170,Procv!$C$1:$D$21,2,0),"")</f>
        <v/>
      </c>
    </row>
    <row r="171" spans="1:99" x14ac:dyDescent="0.25">
      <c r="A171" t="str">
        <f>IF('DADOS CSV'!J172="","",'DADOS CSV'!J172)</f>
        <v/>
      </c>
      <c r="B171" s="30" t="str">
        <f>IF('DADOS CSV'!N172="","",'DADOS CSV'!N172)</f>
        <v/>
      </c>
      <c r="C171" t="str">
        <f t="shared" si="25"/>
        <v/>
      </c>
      <c r="D171" t="str">
        <f t="shared" si="26"/>
        <v/>
      </c>
      <c r="E171" s="30" t="str">
        <f>IF('DADOS CSV'!O172="","",'DADOS CSV'!O172)</f>
        <v/>
      </c>
      <c r="F171" t="str">
        <f t="shared" si="27"/>
        <v/>
      </c>
      <c r="G171" t="str">
        <f t="shared" si="28"/>
        <v/>
      </c>
      <c r="CT171" t="str">
        <f t="shared" si="29"/>
        <v/>
      </c>
      <c r="CU171" s="33" t="str">
        <f>IFERROR(VLOOKUP(Procv!R171,Procv!$C$1:$D$21,2,0),"")</f>
        <v/>
      </c>
    </row>
    <row r="172" spans="1:99" x14ac:dyDescent="0.25">
      <c r="A172" t="str">
        <f>IF('DADOS CSV'!J173="","",'DADOS CSV'!J173)</f>
        <v/>
      </c>
      <c r="B172" s="30" t="str">
        <f>IF('DADOS CSV'!N173="","",'DADOS CSV'!N173)</f>
        <v/>
      </c>
      <c r="C172" t="str">
        <f t="shared" si="25"/>
        <v/>
      </c>
      <c r="D172" t="str">
        <f t="shared" si="26"/>
        <v/>
      </c>
      <c r="E172" s="30" t="str">
        <f>IF('DADOS CSV'!O173="","",'DADOS CSV'!O173)</f>
        <v/>
      </c>
      <c r="F172" t="str">
        <f t="shared" si="27"/>
        <v/>
      </c>
      <c r="G172" t="str">
        <f t="shared" si="28"/>
        <v/>
      </c>
      <c r="CT172" t="str">
        <f t="shared" si="29"/>
        <v/>
      </c>
      <c r="CU172" s="33" t="str">
        <f>IFERROR(VLOOKUP(Procv!R172,Procv!$C$1:$D$21,2,0),"")</f>
        <v/>
      </c>
    </row>
    <row r="173" spans="1:99" x14ac:dyDescent="0.25">
      <c r="A173" t="str">
        <f>IF('DADOS CSV'!J174="","",'DADOS CSV'!J174)</f>
        <v/>
      </c>
      <c r="B173" s="30" t="str">
        <f>IF('DADOS CSV'!N174="","",'DADOS CSV'!N174)</f>
        <v/>
      </c>
      <c r="C173" t="str">
        <f t="shared" si="25"/>
        <v/>
      </c>
      <c r="D173" t="str">
        <f t="shared" si="26"/>
        <v/>
      </c>
      <c r="E173" s="30" t="str">
        <f>IF('DADOS CSV'!O174="","",'DADOS CSV'!O174)</f>
        <v/>
      </c>
      <c r="F173" t="str">
        <f t="shared" si="27"/>
        <v/>
      </c>
      <c r="G173" t="str">
        <f t="shared" si="28"/>
        <v/>
      </c>
      <c r="CT173" t="str">
        <f t="shared" si="29"/>
        <v/>
      </c>
      <c r="CU173" s="33" t="str">
        <f>IFERROR(VLOOKUP(Procv!R173,Procv!$C$1:$D$21,2,0),"")</f>
        <v/>
      </c>
    </row>
    <row r="174" spans="1:99" x14ac:dyDescent="0.25">
      <c r="A174" t="str">
        <f>IF('DADOS CSV'!J175="","",'DADOS CSV'!J175)</f>
        <v/>
      </c>
      <c r="B174" s="30" t="str">
        <f>IF('DADOS CSV'!N175="","",'DADOS CSV'!N175)</f>
        <v/>
      </c>
      <c r="C174" t="str">
        <f t="shared" si="25"/>
        <v/>
      </c>
      <c r="D174" t="str">
        <f t="shared" si="26"/>
        <v/>
      </c>
      <c r="E174" s="30" t="str">
        <f>IF('DADOS CSV'!O175="","",'DADOS CSV'!O175)</f>
        <v/>
      </c>
      <c r="F174" t="str">
        <f t="shared" si="27"/>
        <v/>
      </c>
      <c r="G174" t="str">
        <f t="shared" si="28"/>
        <v/>
      </c>
      <c r="CT174" t="str">
        <f t="shared" si="29"/>
        <v/>
      </c>
      <c r="CU174" s="33" t="str">
        <f>IFERROR(VLOOKUP(Procv!R174,Procv!$C$1:$D$21,2,0),"")</f>
        <v/>
      </c>
    </row>
    <row r="175" spans="1:99" x14ac:dyDescent="0.25">
      <c r="A175" t="str">
        <f>IF('DADOS CSV'!J176="","",'DADOS CSV'!J176)</f>
        <v/>
      </c>
      <c r="B175" s="30" t="str">
        <f>IF('DADOS CSV'!N176="","",'DADOS CSV'!N176)</f>
        <v/>
      </c>
      <c r="C175" t="str">
        <f t="shared" si="25"/>
        <v/>
      </c>
      <c r="D175" t="str">
        <f t="shared" si="26"/>
        <v/>
      </c>
      <c r="E175" s="30" t="str">
        <f>IF('DADOS CSV'!O176="","",'DADOS CSV'!O176)</f>
        <v/>
      </c>
      <c r="F175" t="str">
        <f t="shared" si="27"/>
        <v/>
      </c>
      <c r="G175" t="str">
        <f t="shared" si="28"/>
        <v/>
      </c>
      <c r="CT175" t="str">
        <f t="shared" si="29"/>
        <v/>
      </c>
      <c r="CU175" s="33" t="str">
        <f>IFERROR(VLOOKUP(Procv!R175,Procv!$C$1:$D$21,2,0),"")</f>
        <v/>
      </c>
    </row>
    <row r="176" spans="1:99" x14ac:dyDescent="0.25">
      <c r="A176" t="str">
        <f>IF('DADOS CSV'!J177="","",'DADOS CSV'!J177)</f>
        <v/>
      </c>
      <c r="B176" s="30" t="str">
        <f>IF('DADOS CSV'!N177="","",'DADOS CSV'!N177)</f>
        <v/>
      </c>
      <c r="C176" t="str">
        <f t="shared" si="25"/>
        <v/>
      </c>
      <c r="D176" t="str">
        <f t="shared" si="26"/>
        <v/>
      </c>
      <c r="E176" s="30" t="str">
        <f>IF('DADOS CSV'!O177="","",'DADOS CSV'!O177)</f>
        <v/>
      </c>
      <c r="F176" t="str">
        <f t="shared" si="27"/>
        <v/>
      </c>
      <c r="G176" t="str">
        <f t="shared" si="28"/>
        <v/>
      </c>
      <c r="CT176" t="str">
        <f t="shared" si="29"/>
        <v/>
      </c>
      <c r="CU176" s="33" t="str">
        <f>IFERROR(VLOOKUP(Procv!R176,Procv!$C$1:$D$21,2,0),"")</f>
        <v/>
      </c>
    </row>
    <row r="177" spans="1:99" x14ac:dyDescent="0.25">
      <c r="A177" t="str">
        <f>IF('DADOS CSV'!J178="","",'DADOS CSV'!J178)</f>
        <v/>
      </c>
      <c r="B177" s="30" t="str">
        <f>IF('DADOS CSV'!N178="","",'DADOS CSV'!N178)</f>
        <v/>
      </c>
      <c r="C177" t="str">
        <f t="shared" si="25"/>
        <v/>
      </c>
      <c r="D177" t="str">
        <f t="shared" si="26"/>
        <v/>
      </c>
      <c r="E177" s="30" t="str">
        <f>IF('DADOS CSV'!O178="","",'DADOS CSV'!O178)</f>
        <v/>
      </c>
      <c r="F177" t="str">
        <f t="shared" si="27"/>
        <v/>
      </c>
      <c r="G177" t="str">
        <f t="shared" si="28"/>
        <v/>
      </c>
      <c r="CT177" t="str">
        <f t="shared" si="29"/>
        <v/>
      </c>
      <c r="CU177" s="33" t="str">
        <f>IFERROR(VLOOKUP(Procv!R177,Procv!$C$1:$D$21,2,0),"")</f>
        <v/>
      </c>
    </row>
    <row r="178" spans="1:99" x14ac:dyDescent="0.25">
      <c r="A178" t="str">
        <f>IF('DADOS CSV'!J179="","",'DADOS CSV'!J179)</f>
        <v/>
      </c>
      <c r="B178" s="30" t="str">
        <f>IF('DADOS CSV'!N179="","",'DADOS CSV'!N179)</f>
        <v/>
      </c>
      <c r="C178" t="str">
        <f t="shared" si="25"/>
        <v/>
      </c>
      <c r="D178" t="str">
        <f t="shared" si="26"/>
        <v/>
      </c>
      <c r="E178" s="30" t="str">
        <f>IF('DADOS CSV'!O179="","",'DADOS CSV'!O179)</f>
        <v/>
      </c>
      <c r="F178" t="str">
        <f t="shared" si="27"/>
        <v/>
      </c>
      <c r="G178" t="str">
        <f t="shared" si="28"/>
        <v/>
      </c>
      <c r="CT178" t="str">
        <f t="shared" si="29"/>
        <v/>
      </c>
      <c r="CU178" s="33" t="str">
        <f>IFERROR(VLOOKUP(Procv!R178,Procv!$C$1:$D$21,2,0),"")</f>
        <v/>
      </c>
    </row>
    <row r="179" spans="1:99" x14ac:dyDescent="0.25">
      <c r="A179" t="str">
        <f>IF('DADOS CSV'!J180="","",'DADOS CSV'!J180)</f>
        <v/>
      </c>
      <c r="B179" s="30" t="str">
        <f>IF('DADOS CSV'!N180="","",'DADOS CSV'!N180)</f>
        <v/>
      </c>
      <c r="C179" t="str">
        <f t="shared" si="25"/>
        <v/>
      </c>
      <c r="D179" t="str">
        <f t="shared" si="26"/>
        <v/>
      </c>
      <c r="E179" s="30" t="str">
        <f>IF('DADOS CSV'!O180="","",'DADOS CSV'!O180)</f>
        <v/>
      </c>
      <c r="F179" t="str">
        <f t="shared" si="27"/>
        <v/>
      </c>
      <c r="G179" t="str">
        <f t="shared" si="28"/>
        <v/>
      </c>
      <c r="CT179" t="str">
        <f t="shared" si="29"/>
        <v/>
      </c>
      <c r="CU179" s="33" t="str">
        <f>IFERROR(VLOOKUP(Procv!R179,Procv!$C$1:$D$21,2,0),"")</f>
        <v/>
      </c>
    </row>
    <row r="180" spans="1:99" x14ac:dyDescent="0.25">
      <c r="A180" t="str">
        <f>IF('DADOS CSV'!J181="","",'DADOS CSV'!J181)</f>
        <v/>
      </c>
      <c r="B180" s="30" t="str">
        <f>IF('DADOS CSV'!N181="","",'DADOS CSV'!N181)</f>
        <v/>
      </c>
      <c r="C180" t="str">
        <f t="shared" si="25"/>
        <v/>
      </c>
      <c r="D180" t="str">
        <f t="shared" si="26"/>
        <v/>
      </c>
      <c r="E180" s="30" t="str">
        <f>IF('DADOS CSV'!O181="","",'DADOS CSV'!O181)</f>
        <v/>
      </c>
      <c r="F180" t="str">
        <f t="shared" si="27"/>
        <v/>
      </c>
      <c r="G180" t="str">
        <f t="shared" si="28"/>
        <v/>
      </c>
      <c r="CT180" t="str">
        <f t="shared" si="29"/>
        <v/>
      </c>
      <c r="CU180" s="33" t="str">
        <f>IFERROR(VLOOKUP(Procv!R180,Procv!$C$1:$D$21,2,0),"")</f>
        <v/>
      </c>
    </row>
    <row r="181" spans="1:99" x14ac:dyDescent="0.25">
      <c r="A181" t="str">
        <f>IF('DADOS CSV'!J182="","",'DADOS CSV'!J182)</f>
        <v/>
      </c>
      <c r="B181" s="30" t="str">
        <f>IF('DADOS CSV'!N182="","",'DADOS CSV'!N182)</f>
        <v/>
      </c>
      <c r="C181" t="str">
        <f t="shared" si="25"/>
        <v/>
      </c>
      <c r="D181" t="str">
        <f t="shared" si="26"/>
        <v/>
      </c>
      <c r="E181" s="30" t="str">
        <f>IF('DADOS CSV'!O182="","",'DADOS CSV'!O182)</f>
        <v/>
      </c>
      <c r="F181" t="str">
        <f t="shared" si="27"/>
        <v/>
      </c>
      <c r="G181" t="str">
        <f t="shared" si="28"/>
        <v/>
      </c>
      <c r="CT181" t="str">
        <f t="shared" si="29"/>
        <v/>
      </c>
      <c r="CU181" s="33" t="str">
        <f>IFERROR(VLOOKUP(Procv!R181,Procv!$C$1:$D$21,2,0),"")</f>
        <v/>
      </c>
    </row>
    <row r="182" spans="1:99" x14ac:dyDescent="0.25">
      <c r="A182" t="str">
        <f>IF('DADOS CSV'!J183="","",'DADOS CSV'!J183)</f>
        <v/>
      </c>
      <c r="B182" s="30" t="str">
        <f>IF('DADOS CSV'!N183="","",'DADOS CSV'!N183)</f>
        <v/>
      </c>
      <c r="C182" t="str">
        <f t="shared" si="25"/>
        <v/>
      </c>
      <c r="D182" t="str">
        <f t="shared" si="26"/>
        <v/>
      </c>
      <c r="E182" s="30" t="str">
        <f>IF('DADOS CSV'!O183="","",'DADOS CSV'!O183)</f>
        <v/>
      </c>
      <c r="F182" t="str">
        <f t="shared" si="27"/>
        <v/>
      </c>
      <c r="G182" t="str">
        <f t="shared" si="28"/>
        <v/>
      </c>
      <c r="CT182" t="str">
        <f t="shared" si="29"/>
        <v/>
      </c>
      <c r="CU182" s="33" t="str">
        <f>IFERROR(VLOOKUP(Procv!R182,Procv!$C$1:$D$21,2,0),"")</f>
        <v/>
      </c>
    </row>
    <row r="183" spans="1:99" x14ac:dyDescent="0.25">
      <c r="A183" t="str">
        <f>IF('DADOS CSV'!J184="","",'DADOS CSV'!J184)</f>
        <v/>
      </c>
      <c r="B183" s="30" t="str">
        <f>IF('DADOS CSV'!N184="","",'DADOS CSV'!N184)</f>
        <v/>
      </c>
      <c r="C183" t="str">
        <f t="shared" si="25"/>
        <v/>
      </c>
      <c r="D183" t="str">
        <f t="shared" si="26"/>
        <v/>
      </c>
      <c r="E183" s="30" t="str">
        <f>IF('DADOS CSV'!O184="","",'DADOS CSV'!O184)</f>
        <v/>
      </c>
      <c r="F183" t="str">
        <f t="shared" si="27"/>
        <v/>
      </c>
      <c r="G183" t="str">
        <f t="shared" si="28"/>
        <v/>
      </c>
      <c r="CT183" t="str">
        <f t="shared" si="29"/>
        <v/>
      </c>
      <c r="CU183" s="33" t="str">
        <f>IFERROR(VLOOKUP(Procv!R183,Procv!$C$1:$D$21,2,0),"")</f>
        <v/>
      </c>
    </row>
    <row r="184" spans="1:99" x14ac:dyDescent="0.25">
      <c r="A184" t="str">
        <f>IF('DADOS CSV'!J185="","",'DADOS CSV'!J185)</f>
        <v/>
      </c>
      <c r="B184" s="30" t="str">
        <f>IF('DADOS CSV'!N185="","",'DADOS CSV'!N185)</f>
        <v/>
      </c>
      <c r="C184" t="str">
        <f t="shared" si="25"/>
        <v/>
      </c>
      <c r="D184" t="str">
        <f t="shared" si="26"/>
        <v/>
      </c>
      <c r="E184" s="30" t="str">
        <f>IF('DADOS CSV'!O185="","",'DADOS CSV'!O185)</f>
        <v/>
      </c>
      <c r="F184" t="str">
        <f t="shared" si="27"/>
        <v/>
      </c>
      <c r="G184" t="str">
        <f t="shared" si="28"/>
        <v/>
      </c>
      <c r="CT184" t="str">
        <f t="shared" si="29"/>
        <v/>
      </c>
      <c r="CU184" s="33" t="str">
        <f>IFERROR(VLOOKUP(Procv!R184,Procv!$C$1:$D$21,2,0),"")</f>
        <v/>
      </c>
    </row>
    <row r="185" spans="1:99" x14ac:dyDescent="0.25">
      <c r="A185" t="str">
        <f>IF('DADOS CSV'!J186="","",'DADOS CSV'!J186)</f>
        <v/>
      </c>
      <c r="B185" s="30" t="str">
        <f>IF('DADOS CSV'!N186="","",'DADOS CSV'!N186)</f>
        <v/>
      </c>
      <c r="C185" t="str">
        <f t="shared" si="25"/>
        <v/>
      </c>
      <c r="D185" t="str">
        <f t="shared" si="26"/>
        <v/>
      </c>
      <c r="E185" s="30" t="str">
        <f>IF('DADOS CSV'!O186="","",'DADOS CSV'!O186)</f>
        <v/>
      </c>
      <c r="F185" t="str">
        <f t="shared" si="27"/>
        <v/>
      </c>
      <c r="G185" t="str">
        <f t="shared" si="28"/>
        <v/>
      </c>
      <c r="CT185" t="str">
        <f t="shared" si="29"/>
        <v/>
      </c>
      <c r="CU185" s="33" t="str">
        <f>IFERROR(VLOOKUP(Procv!R185,Procv!$C$1:$D$21,2,0),"")</f>
        <v/>
      </c>
    </row>
    <row r="186" spans="1:99" x14ac:dyDescent="0.25">
      <c r="A186" t="str">
        <f>IF('DADOS CSV'!J187="","",'DADOS CSV'!J187)</f>
        <v/>
      </c>
      <c r="B186" s="30" t="str">
        <f>IF('DADOS CSV'!N187="","",'DADOS CSV'!N187)</f>
        <v/>
      </c>
      <c r="C186" t="str">
        <f t="shared" si="25"/>
        <v/>
      </c>
      <c r="D186" t="str">
        <f t="shared" si="26"/>
        <v/>
      </c>
      <c r="E186" s="30" t="str">
        <f>IF('DADOS CSV'!O187="","",'DADOS CSV'!O187)</f>
        <v/>
      </c>
      <c r="F186" t="str">
        <f t="shared" si="27"/>
        <v/>
      </c>
      <c r="G186" t="str">
        <f t="shared" si="28"/>
        <v/>
      </c>
      <c r="CT186" t="str">
        <f t="shared" si="29"/>
        <v/>
      </c>
      <c r="CU186" s="33" t="str">
        <f>IFERROR(VLOOKUP(Procv!R186,Procv!$C$1:$D$21,2,0),"")</f>
        <v/>
      </c>
    </row>
    <row r="187" spans="1:99" x14ac:dyDescent="0.25">
      <c r="A187" t="str">
        <f>IF('DADOS CSV'!J188="","",'DADOS CSV'!J188)</f>
        <v/>
      </c>
      <c r="B187" s="30" t="str">
        <f>IF('DADOS CSV'!N188="","",'DADOS CSV'!N188)</f>
        <v/>
      </c>
      <c r="C187" t="str">
        <f t="shared" si="25"/>
        <v/>
      </c>
      <c r="D187" t="str">
        <f t="shared" si="26"/>
        <v/>
      </c>
      <c r="E187" s="30" t="str">
        <f>IF('DADOS CSV'!O188="","",'DADOS CSV'!O188)</f>
        <v/>
      </c>
      <c r="F187" t="str">
        <f t="shared" si="27"/>
        <v/>
      </c>
      <c r="G187" t="str">
        <f t="shared" si="28"/>
        <v/>
      </c>
      <c r="CT187" t="str">
        <f t="shared" si="29"/>
        <v/>
      </c>
      <c r="CU187" s="33" t="str">
        <f>IFERROR(VLOOKUP(Procv!R187,Procv!$C$1:$D$21,2,0),"")</f>
        <v/>
      </c>
    </row>
    <row r="188" spans="1:99" x14ac:dyDescent="0.25">
      <c r="A188" t="str">
        <f>IF('DADOS CSV'!J189="","",'DADOS CSV'!J189)</f>
        <v/>
      </c>
      <c r="B188" s="30" t="str">
        <f>IF('DADOS CSV'!N189="","",'DADOS CSV'!N189)</f>
        <v/>
      </c>
      <c r="C188" t="str">
        <f t="shared" si="25"/>
        <v/>
      </c>
      <c r="D188" t="str">
        <f t="shared" si="26"/>
        <v/>
      </c>
      <c r="E188" s="30" t="str">
        <f>IF('DADOS CSV'!O189="","",'DADOS CSV'!O189)</f>
        <v/>
      </c>
      <c r="F188" t="str">
        <f t="shared" si="27"/>
        <v/>
      </c>
      <c r="G188" t="str">
        <f t="shared" si="28"/>
        <v/>
      </c>
      <c r="CT188" t="str">
        <f t="shared" si="29"/>
        <v/>
      </c>
      <c r="CU188" s="33" t="str">
        <f>IFERROR(VLOOKUP(Procv!R188,Procv!$C$1:$D$21,2,0),"")</f>
        <v/>
      </c>
    </row>
    <row r="189" spans="1:99" x14ac:dyDescent="0.25">
      <c r="A189" t="str">
        <f>IF('DADOS CSV'!J190="","",'DADOS CSV'!J190)</f>
        <v/>
      </c>
      <c r="B189" s="30" t="str">
        <f>IF('DADOS CSV'!N190="","",'DADOS CSV'!N190)</f>
        <v/>
      </c>
      <c r="C189" t="str">
        <f t="shared" si="25"/>
        <v/>
      </c>
      <c r="D189" t="str">
        <f t="shared" si="26"/>
        <v/>
      </c>
      <c r="E189" s="30" t="str">
        <f>IF('DADOS CSV'!O190="","",'DADOS CSV'!O190)</f>
        <v/>
      </c>
      <c r="F189" t="str">
        <f t="shared" si="27"/>
        <v/>
      </c>
      <c r="G189" t="str">
        <f t="shared" si="28"/>
        <v/>
      </c>
      <c r="CT189" t="str">
        <f t="shared" si="29"/>
        <v/>
      </c>
      <c r="CU189" s="33" t="str">
        <f>IFERROR(VLOOKUP(Procv!R189,Procv!$C$1:$D$21,2,0),"")</f>
        <v/>
      </c>
    </row>
    <row r="190" spans="1:99" x14ac:dyDescent="0.25">
      <c r="A190" t="str">
        <f>IF('DADOS CSV'!J191="","",'DADOS CSV'!J191)</f>
        <v/>
      </c>
      <c r="B190" s="30" t="str">
        <f>IF('DADOS CSV'!N191="","",'DADOS CSV'!N191)</f>
        <v/>
      </c>
      <c r="C190" t="str">
        <f t="shared" si="25"/>
        <v/>
      </c>
      <c r="D190" t="str">
        <f t="shared" si="26"/>
        <v/>
      </c>
      <c r="E190" s="30" t="str">
        <f>IF('DADOS CSV'!O191="","",'DADOS CSV'!O191)</f>
        <v/>
      </c>
      <c r="F190" t="str">
        <f t="shared" si="27"/>
        <v/>
      </c>
      <c r="G190" t="str">
        <f t="shared" si="28"/>
        <v/>
      </c>
      <c r="CT190" t="str">
        <f t="shared" si="29"/>
        <v/>
      </c>
      <c r="CU190" s="33" t="str">
        <f>IFERROR(VLOOKUP(Procv!R190,Procv!$C$1:$D$21,2,0),"")</f>
        <v/>
      </c>
    </row>
    <row r="191" spans="1:99" x14ac:dyDescent="0.25">
      <c r="A191" t="str">
        <f>IF('DADOS CSV'!J192="","",'DADOS CSV'!J192)</f>
        <v/>
      </c>
      <c r="B191" s="30" t="str">
        <f>IF('DADOS CSV'!N192="","",'DADOS CSV'!N192)</f>
        <v/>
      </c>
      <c r="C191" t="str">
        <f t="shared" si="25"/>
        <v/>
      </c>
      <c r="D191" t="str">
        <f t="shared" si="26"/>
        <v/>
      </c>
      <c r="E191" s="30" t="str">
        <f>IF('DADOS CSV'!O192="","",'DADOS CSV'!O192)</f>
        <v/>
      </c>
      <c r="F191" t="str">
        <f t="shared" si="27"/>
        <v/>
      </c>
      <c r="G191" t="str">
        <f t="shared" si="28"/>
        <v/>
      </c>
      <c r="CT191" t="str">
        <f t="shared" si="29"/>
        <v/>
      </c>
      <c r="CU191" s="33" t="str">
        <f>IFERROR(VLOOKUP(Procv!R191,Procv!$C$1:$D$21,2,0),"")</f>
        <v/>
      </c>
    </row>
    <row r="192" spans="1:99" x14ac:dyDescent="0.25">
      <c r="A192" t="str">
        <f>IF('DADOS CSV'!J193="","",'DADOS CSV'!J193)</f>
        <v/>
      </c>
      <c r="B192" s="30" t="str">
        <f>IF('DADOS CSV'!N193="","",'DADOS CSV'!N193)</f>
        <v/>
      </c>
      <c r="C192" t="str">
        <f t="shared" si="25"/>
        <v/>
      </c>
      <c r="D192" t="str">
        <f t="shared" si="26"/>
        <v/>
      </c>
      <c r="E192" s="30" t="str">
        <f>IF('DADOS CSV'!O193="","",'DADOS CSV'!O193)</f>
        <v/>
      </c>
      <c r="F192" t="str">
        <f t="shared" si="27"/>
        <v/>
      </c>
      <c r="G192" t="str">
        <f t="shared" si="28"/>
        <v/>
      </c>
      <c r="CT192" t="str">
        <f t="shared" si="29"/>
        <v/>
      </c>
      <c r="CU192" s="33" t="str">
        <f>IFERROR(VLOOKUP(Procv!R192,Procv!$C$1:$D$21,2,0),"")</f>
        <v/>
      </c>
    </row>
    <row r="193" spans="1:99" x14ac:dyDescent="0.25">
      <c r="A193" t="str">
        <f>IF('DADOS CSV'!J194="","",'DADOS CSV'!J194)</f>
        <v/>
      </c>
      <c r="B193" s="30" t="str">
        <f>IF('DADOS CSV'!N194="","",'DADOS CSV'!N194)</f>
        <v/>
      </c>
      <c r="C193" t="str">
        <f t="shared" si="25"/>
        <v/>
      </c>
      <c r="D193" t="str">
        <f t="shared" si="26"/>
        <v/>
      </c>
      <c r="E193" s="30" t="str">
        <f>IF('DADOS CSV'!O194="","",'DADOS CSV'!O194)</f>
        <v/>
      </c>
      <c r="F193" t="str">
        <f t="shared" si="27"/>
        <v/>
      </c>
      <c r="G193" t="str">
        <f t="shared" si="28"/>
        <v/>
      </c>
      <c r="CT193" t="str">
        <f t="shared" si="29"/>
        <v/>
      </c>
      <c r="CU193" s="33" t="str">
        <f>IFERROR(VLOOKUP(Procv!R193,Procv!$C$1:$D$21,2,0),"")</f>
        <v/>
      </c>
    </row>
    <row r="194" spans="1:99" x14ac:dyDescent="0.25">
      <c r="A194" t="str">
        <f>IF('DADOS CSV'!J195="","",'DADOS CSV'!J195)</f>
        <v/>
      </c>
      <c r="B194" s="30" t="str">
        <f>IF('DADOS CSV'!N195="","",'DADOS CSV'!N195)</f>
        <v/>
      </c>
      <c r="C194" t="str">
        <f t="shared" si="25"/>
        <v/>
      </c>
      <c r="D194" t="str">
        <f t="shared" si="26"/>
        <v/>
      </c>
      <c r="E194" s="30" t="str">
        <f>IF('DADOS CSV'!O195="","",'DADOS CSV'!O195)</f>
        <v/>
      </c>
      <c r="F194" t="str">
        <f t="shared" si="27"/>
        <v/>
      </c>
      <c r="G194" t="str">
        <f t="shared" si="28"/>
        <v/>
      </c>
      <c r="CT194" t="str">
        <f t="shared" si="29"/>
        <v/>
      </c>
      <c r="CU194" s="33" t="str">
        <f>IFERROR(VLOOKUP(Procv!R194,Procv!$C$1:$D$21,2,0),"")</f>
        <v/>
      </c>
    </row>
    <row r="195" spans="1:99" x14ac:dyDescent="0.25">
      <c r="A195" t="str">
        <f>IF('DADOS CSV'!J196="","",'DADOS CSV'!J196)</f>
        <v/>
      </c>
      <c r="B195" s="30" t="str">
        <f>IF('DADOS CSV'!N196="","",'DADOS CSV'!N196)</f>
        <v/>
      </c>
      <c r="C195" t="str">
        <f t="shared" si="25"/>
        <v/>
      </c>
      <c r="D195" t="str">
        <f t="shared" si="26"/>
        <v/>
      </c>
      <c r="E195" s="30" t="str">
        <f>IF('DADOS CSV'!O196="","",'DADOS CSV'!O196)</f>
        <v/>
      </c>
      <c r="F195" t="str">
        <f t="shared" si="27"/>
        <v/>
      </c>
      <c r="G195" t="str">
        <f t="shared" si="28"/>
        <v/>
      </c>
      <c r="CT195" t="str">
        <f t="shared" si="29"/>
        <v/>
      </c>
      <c r="CU195" s="33" t="str">
        <f>IFERROR(VLOOKUP(Procv!R195,Procv!$C$1:$D$21,2,0),"")</f>
        <v/>
      </c>
    </row>
    <row r="196" spans="1:99" x14ac:dyDescent="0.25">
      <c r="A196" t="str">
        <f>IF('DADOS CSV'!J197="","",'DADOS CSV'!J197)</f>
        <v/>
      </c>
      <c r="B196" s="30" t="str">
        <f>IF('DADOS CSV'!N197="","",'DADOS CSV'!N197)</f>
        <v/>
      </c>
      <c r="C196" t="str">
        <f t="shared" si="25"/>
        <v/>
      </c>
      <c r="D196" t="str">
        <f t="shared" si="26"/>
        <v/>
      </c>
      <c r="E196" s="30" t="str">
        <f>IF('DADOS CSV'!O197="","",'DADOS CSV'!O197)</f>
        <v/>
      </c>
      <c r="F196" t="str">
        <f t="shared" si="27"/>
        <v/>
      </c>
      <c r="G196" t="str">
        <f t="shared" si="28"/>
        <v/>
      </c>
      <c r="CT196" t="str">
        <f t="shared" si="29"/>
        <v/>
      </c>
      <c r="CU196" s="33" t="str">
        <f>IFERROR(VLOOKUP(Procv!R196,Procv!$C$1:$D$21,2,0),"")</f>
        <v/>
      </c>
    </row>
    <row r="197" spans="1:99" x14ac:dyDescent="0.25">
      <c r="A197" t="str">
        <f>IF('DADOS CSV'!J198="","",'DADOS CSV'!J198)</f>
        <v/>
      </c>
      <c r="B197" s="30" t="str">
        <f>IF('DADOS CSV'!N198="","",'DADOS CSV'!N198)</f>
        <v/>
      </c>
      <c r="C197" t="str">
        <f t="shared" si="25"/>
        <v/>
      </c>
      <c r="D197" t="str">
        <f t="shared" si="26"/>
        <v/>
      </c>
      <c r="E197" s="30" t="str">
        <f>IF('DADOS CSV'!O198="","",'DADOS CSV'!O198)</f>
        <v/>
      </c>
      <c r="F197" t="str">
        <f t="shared" si="27"/>
        <v/>
      </c>
      <c r="G197" t="str">
        <f t="shared" si="28"/>
        <v/>
      </c>
      <c r="CT197" t="str">
        <f t="shared" si="29"/>
        <v/>
      </c>
      <c r="CU197" s="33" t="str">
        <f>IFERROR(VLOOKUP(Procv!R197,Procv!$C$1:$D$21,2,0),"")</f>
        <v/>
      </c>
    </row>
    <row r="198" spans="1:99" x14ac:dyDescent="0.25">
      <c r="A198" t="str">
        <f>IF('DADOS CSV'!J199="","",'DADOS CSV'!J199)</f>
        <v/>
      </c>
      <c r="B198" s="30" t="str">
        <f>IF('DADOS CSV'!N199="","",'DADOS CSV'!N199)</f>
        <v/>
      </c>
      <c r="C198" t="str">
        <f t="shared" si="25"/>
        <v/>
      </c>
      <c r="D198" t="str">
        <f t="shared" si="26"/>
        <v/>
      </c>
      <c r="E198" s="30" t="str">
        <f>IF('DADOS CSV'!O199="","",'DADOS CSV'!O199)</f>
        <v/>
      </c>
      <c r="F198" t="str">
        <f t="shared" si="27"/>
        <v/>
      </c>
      <c r="G198" t="str">
        <f t="shared" si="28"/>
        <v/>
      </c>
      <c r="CT198" t="str">
        <f t="shared" si="29"/>
        <v/>
      </c>
      <c r="CU198" s="33" t="str">
        <f>IFERROR(VLOOKUP(Procv!R198,Procv!$C$1:$D$21,2,0),"")</f>
        <v/>
      </c>
    </row>
    <row r="199" spans="1:99" x14ac:dyDescent="0.25">
      <c r="A199" t="str">
        <f>IF('DADOS CSV'!J200="","",'DADOS CSV'!J200)</f>
        <v/>
      </c>
      <c r="B199" s="30" t="str">
        <f>IF('DADOS CSV'!N200="","",'DADOS CSV'!N200)</f>
        <v/>
      </c>
      <c r="C199" t="str">
        <f t="shared" si="25"/>
        <v/>
      </c>
      <c r="D199" t="str">
        <f t="shared" si="26"/>
        <v/>
      </c>
      <c r="E199" s="30" t="str">
        <f>IF('DADOS CSV'!O200="","",'DADOS CSV'!O200)</f>
        <v/>
      </c>
      <c r="F199" t="str">
        <f t="shared" si="27"/>
        <v/>
      </c>
      <c r="G199" t="str">
        <f t="shared" si="28"/>
        <v/>
      </c>
      <c r="CT199" t="str">
        <f t="shared" si="29"/>
        <v/>
      </c>
      <c r="CU199" s="33" t="str">
        <f>IFERROR(VLOOKUP(Procv!R199,Procv!$C$1:$D$21,2,0),"")</f>
        <v/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AF86-7225-4522-8051-7CE51B7FF30B}">
  <dimension ref="A1:AF73"/>
  <sheetViews>
    <sheetView zoomScaleNormal="100" workbookViewId="0">
      <pane ySplit="2" topLeftCell="A3" activePane="bottomLeft" state="frozen"/>
      <selection activeCell="F70" sqref="F70"/>
      <selection pane="bottomLeft" activeCell="F70" sqref="F70"/>
    </sheetView>
  </sheetViews>
  <sheetFormatPr defaultRowHeight="15" x14ac:dyDescent="0.25"/>
  <cols>
    <col min="1" max="7" width="7.42578125" style="72" customWidth="1"/>
    <col min="8" max="8" width="1.7109375" style="17" customWidth="1"/>
    <col min="9" max="32" width="5.85546875" customWidth="1"/>
  </cols>
  <sheetData>
    <row r="1" spans="1:32" x14ac:dyDescent="0.25">
      <c r="A1" s="224" t="s">
        <v>129</v>
      </c>
      <c r="B1" s="223" t="s">
        <v>130</v>
      </c>
      <c r="C1" s="223"/>
      <c r="D1" s="223" t="s">
        <v>131</v>
      </c>
      <c r="E1" s="223"/>
      <c r="F1" s="223" t="s">
        <v>135</v>
      </c>
      <c r="G1" s="221" t="s">
        <v>132</v>
      </c>
      <c r="H1" s="69"/>
      <c r="I1" s="75">
        <v>1</v>
      </c>
      <c r="J1" s="76">
        <v>1.0416666666666667</v>
      </c>
      <c r="K1" s="76">
        <v>1.0833333333333333</v>
      </c>
      <c r="L1" s="76">
        <v>1.125</v>
      </c>
      <c r="M1" s="76">
        <v>0.16666666666666666</v>
      </c>
      <c r="N1" s="76">
        <v>0.20833333333333334</v>
      </c>
      <c r="O1" s="77">
        <v>0.25</v>
      </c>
      <c r="P1" s="77">
        <v>0.29166666666666669</v>
      </c>
      <c r="Q1" s="77">
        <v>0.33333333333333331</v>
      </c>
      <c r="R1" s="76">
        <v>0.375</v>
      </c>
      <c r="S1" s="76">
        <v>0.41666666666666669</v>
      </c>
      <c r="T1" s="76">
        <v>0.45833333333333331</v>
      </c>
      <c r="U1" s="76">
        <v>0.5</v>
      </c>
      <c r="V1" s="76">
        <v>0.54166666666666663</v>
      </c>
      <c r="W1" s="76">
        <v>0.58333333333333337</v>
      </c>
      <c r="X1" s="76">
        <v>0.625</v>
      </c>
      <c r="Y1" s="77">
        <v>0.66666666666666663</v>
      </c>
      <c r="Z1" s="77">
        <v>0.70833333333333337</v>
      </c>
      <c r="AA1" s="77">
        <v>0.75</v>
      </c>
      <c r="AB1" s="76">
        <v>0.79166666666666663</v>
      </c>
      <c r="AC1" s="76">
        <v>0.83333333333333337</v>
      </c>
      <c r="AD1" s="76">
        <v>0.875</v>
      </c>
      <c r="AE1" s="76">
        <v>0.91666666666666663</v>
      </c>
      <c r="AF1" s="76">
        <v>0.95833333333333337</v>
      </c>
    </row>
    <row r="2" spans="1:32" ht="15" customHeight="1" x14ac:dyDescent="0.25">
      <c r="A2" s="224"/>
      <c r="B2" s="71" t="s">
        <v>133</v>
      </c>
      <c r="C2" s="71" t="s">
        <v>134</v>
      </c>
      <c r="D2" s="71" t="s">
        <v>133</v>
      </c>
      <c r="E2" s="71" t="s">
        <v>134</v>
      </c>
      <c r="F2" s="223"/>
      <c r="G2" s="222"/>
      <c r="H2" s="70"/>
      <c r="I2" s="78">
        <f ca="1">COUNTIF(I3:I72,"X")</f>
        <v>0</v>
      </c>
      <c r="J2" s="78">
        <f t="shared" ref="J2:AF2" ca="1" si="0">COUNTIF(J3:J72,"X")</f>
        <v>0</v>
      </c>
      <c r="K2" s="78">
        <f t="shared" ca="1" si="0"/>
        <v>0</v>
      </c>
      <c r="L2" s="78">
        <f t="shared" ca="1" si="0"/>
        <v>0</v>
      </c>
      <c r="M2" s="78">
        <f t="shared" ca="1" si="0"/>
        <v>0</v>
      </c>
      <c r="N2" s="78">
        <f t="shared" ca="1" si="0"/>
        <v>0</v>
      </c>
      <c r="O2" s="78">
        <f ca="1">COUNTIF(O3:O72,"X")</f>
        <v>0</v>
      </c>
      <c r="P2" s="78">
        <f t="shared" ca="1" si="0"/>
        <v>0</v>
      </c>
      <c r="Q2" s="78">
        <f t="shared" ca="1" si="0"/>
        <v>0</v>
      </c>
      <c r="R2" s="78">
        <f t="shared" ca="1" si="0"/>
        <v>0</v>
      </c>
      <c r="S2" s="78">
        <f t="shared" ca="1" si="0"/>
        <v>0</v>
      </c>
      <c r="T2" s="78">
        <f t="shared" ca="1" si="0"/>
        <v>0</v>
      </c>
      <c r="U2" s="78">
        <f t="shared" ca="1" si="0"/>
        <v>0</v>
      </c>
      <c r="V2" s="78">
        <f t="shared" ca="1" si="0"/>
        <v>0</v>
      </c>
      <c r="W2" s="78">
        <f t="shared" ca="1" si="0"/>
        <v>0</v>
      </c>
      <c r="X2" s="78">
        <f t="shared" ca="1" si="0"/>
        <v>0</v>
      </c>
      <c r="Y2" s="78">
        <f t="shared" ca="1" si="0"/>
        <v>0</v>
      </c>
      <c r="Z2" s="78">
        <f t="shared" ca="1" si="0"/>
        <v>0</v>
      </c>
      <c r="AA2" s="78">
        <f t="shared" ca="1" si="0"/>
        <v>0</v>
      </c>
      <c r="AB2" s="78">
        <f t="shared" ca="1" si="0"/>
        <v>0</v>
      </c>
      <c r="AC2" s="78">
        <f t="shared" ca="1" si="0"/>
        <v>0</v>
      </c>
      <c r="AD2" s="78">
        <f t="shared" ca="1" si="0"/>
        <v>0</v>
      </c>
      <c r="AE2" s="78">
        <f t="shared" ca="1" si="0"/>
        <v>0</v>
      </c>
      <c r="AF2" s="78">
        <f t="shared" ca="1" si="0"/>
        <v>0</v>
      </c>
    </row>
    <row r="3" spans="1:32" x14ac:dyDescent="0.25">
      <c r="A3" s="80" t="e">
        <f>IF(B3&gt;=0.000694444444444444,1,"")</f>
        <v>#REF!</v>
      </c>
      <c r="B3" s="81" t="e">
        <f>MIN(#REF!)-G3</f>
        <v>#REF!</v>
      </c>
      <c r="C3" s="81" t="e">
        <f ca="1">IF(MIN(#REF!)&gt;0.08333,OFFSET(#REF!,MATCH(MIN(#REF!),#REF!,0),-4),MAX(#REF!))</f>
        <v>#REF!</v>
      </c>
      <c r="D3" s="81" t="e">
        <f ca="1">IF(MIN(#REF!)&gt;0.08333,OFFSET(#REF!,MATCH(MIN(#REF!),#REF!,0),-2),MIN(#REF!))</f>
        <v>#REF!</v>
      </c>
      <c r="E3" s="81" t="e">
        <f>IF(MIN(#REF!)&gt;0.08333,MAX(#REF!),MAX(#REF!))+G3</f>
        <v>#REF!</v>
      </c>
      <c r="F3" s="81" t="e">
        <f>E3-B3</f>
        <v>#REF!</v>
      </c>
      <c r="G3" s="81">
        <v>0</v>
      </c>
      <c r="H3" s="82"/>
      <c r="I3" s="83" t="e">
        <f t="shared" ref="I3:AF3" ca="1" si="1">IF(AND(J$1-$B3&gt;=0.0208333,$C3-I$1&gt;0.0208333),"X",IF(AND(J$1-$D3&gt;=0.0208333,$E3-I$1&gt;0.0208333),"X",IF(MROUND($C3,"01:00")=I$1,IF(J$1-$D3+$C3-I$1&gt;=0.02083,"X",""),"")))</f>
        <v>#REF!</v>
      </c>
      <c r="J3" s="83" t="e">
        <f t="shared" ca="1" si="1"/>
        <v>#REF!</v>
      </c>
      <c r="K3" s="83" t="e">
        <f t="shared" ca="1" si="1"/>
        <v>#REF!</v>
      </c>
      <c r="L3" s="83" t="e">
        <f t="shared" ca="1" si="1"/>
        <v>#REF!</v>
      </c>
      <c r="M3" s="83" t="e">
        <f t="shared" ca="1" si="1"/>
        <v>#REF!</v>
      </c>
      <c r="N3" s="83" t="e">
        <f t="shared" ca="1" si="1"/>
        <v>#REF!</v>
      </c>
      <c r="O3" s="83" t="e">
        <f t="shared" ca="1" si="1"/>
        <v>#REF!</v>
      </c>
      <c r="P3" s="83" t="e">
        <f t="shared" ca="1" si="1"/>
        <v>#REF!</v>
      </c>
      <c r="Q3" s="83" t="e">
        <f t="shared" ca="1" si="1"/>
        <v>#REF!</v>
      </c>
      <c r="R3" s="83" t="e">
        <f t="shared" ca="1" si="1"/>
        <v>#REF!</v>
      </c>
      <c r="S3" s="83" t="e">
        <f t="shared" ca="1" si="1"/>
        <v>#REF!</v>
      </c>
      <c r="T3" s="83" t="e">
        <f t="shared" ca="1" si="1"/>
        <v>#REF!</v>
      </c>
      <c r="U3" s="83" t="e">
        <f t="shared" ca="1" si="1"/>
        <v>#REF!</v>
      </c>
      <c r="V3" s="83" t="e">
        <f t="shared" ca="1" si="1"/>
        <v>#REF!</v>
      </c>
      <c r="W3" s="83" t="e">
        <f t="shared" ca="1" si="1"/>
        <v>#REF!</v>
      </c>
      <c r="X3" s="83" t="e">
        <f t="shared" ca="1" si="1"/>
        <v>#REF!</v>
      </c>
      <c r="Y3" s="83" t="e">
        <f t="shared" ca="1" si="1"/>
        <v>#REF!</v>
      </c>
      <c r="Z3" s="83" t="e">
        <f t="shared" ca="1" si="1"/>
        <v>#REF!</v>
      </c>
      <c r="AA3" s="83" t="e">
        <f t="shared" ca="1" si="1"/>
        <v>#REF!</v>
      </c>
      <c r="AB3" s="83" t="e">
        <f t="shared" ca="1" si="1"/>
        <v>#REF!</v>
      </c>
      <c r="AC3" s="83" t="e">
        <f t="shared" ca="1" si="1"/>
        <v>#REF!</v>
      </c>
      <c r="AD3" s="83" t="e">
        <f t="shared" ca="1" si="1"/>
        <v>#REF!</v>
      </c>
      <c r="AE3" s="83" t="e">
        <f t="shared" ca="1" si="1"/>
        <v>#REF!</v>
      </c>
      <c r="AF3" s="83" t="e">
        <f t="shared" ca="1" si="1"/>
        <v>#REF!</v>
      </c>
    </row>
    <row r="4" spans="1:32" x14ac:dyDescent="0.25">
      <c r="A4" s="84" t="e">
        <f>IF(B4&gt;0,1+A3,"")</f>
        <v>#REF!</v>
      </c>
      <c r="B4" s="85" t="e">
        <f>MIN(#REF!)-G3</f>
        <v>#REF!</v>
      </c>
      <c r="C4" s="85" t="e">
        <f ca="1">IF(MIN(#REF!)&gt;0.08333,OFFSET(#REF!,MATCH(MIN(#REF!),#REF!,0),-4),MAX(#REF!))</f>
        <v>#REF!</v>
      </c>
      <c r="D4" s="85" t="e">
        <f ca="1">IF(MIN(#REF!)&gt;0.08333,OFFSET(#REF!,MATCH(MIN(#REF!),#REF!,0),-2),MIN(#REF!))</f>
        <v>#REF!</v>
      </c>
      <c r="E4" s="85" t="e">
        <f>IF(MIN(#REF!)&gt;0.08333,MAX(#REF!),MAX(#REF!))+G3</f>
        <v>#REF!</v>
      </c>
      <c r="F4" s="85" t="e">
        <f t="shared" ref="F4:F24" si="2">E4-B4</f>
        <v>#REF!</v>
      </c>
      <c r="G4" s="85"/>
      <c r="H4" s="86"/>
      <c r="I4" s="87" t="e">
        <f t="shared" ref="I4:AF4" ca="1" si="3">IF(AND(J$1-$B4&gt;=0.0208333,$C4-I$1&gt;0.0208333),"X",IF(AND(J$1-$D4&gt;=0.0208333,$E4-I$1&gt;0.0208333),"X",IF(MROUND($C4,"01:00")=I$1,IF(J$1-$D4+$C4-I$1&gt;=0.02083,"X",""),"")))</f>
        <v>#REF!</v>
      </c>
      <c r="J4" s="87" t="e">
        <f t="shared" ca="1" si="3"/>
        <v>#REF!</v>
      </c>
      <c r="K4" s="87" t="e">
        <f t="shared" ca="1" si="3"/>
        <v>#REF!</v>
      </c>
      <c r="L4" s="87" t="e">
        <f t="shared" ca="1" si="3"/>
        <v>#REF!</v>
      </c>
      <c r="M4" s="87" t="e">
        <f t="shared" ca="1" si="3"/>
        <v>#REF!</v>
      </c>
      <c r="N4" s="87" t="e">
        <f t="shared" ca="1" si="3"/>
        <v>#REF!</v>
      </c>
      <c r="O4" s="87" t="e">
        <f t="shared" ca="1" si="3"/>
        <v>#REF!</v>
      </c>
      <c r="P4" s="87" t="e">
        <f t="shared" ca="1" si="3"/>
        <v>#REF!</v>
      </c>
      <c r="Q4" s="87" t="e">
        <f t="shared" ca="1" si="3"/>
        <v>#REF!</v>
      </c>
      <c r="R4" s="87" t="e">
        <f t="shared" ca="1" si="3"/>
        <v>#REF!</v>
      </c>
      <c r="S4" s="87" t="e">
        <f t="shared" ca="1" si="3"/>
        <v>#REF!</v>
      </c>
      <c r="T4" s="87" t="e">
        <f t="shared" ca="1" si="3"/>
        <v>#REF!</v>
      </c>
      <c r="U4" s="87" t="e">
        <f t="shared" ca="1" si="3"/>
        <v>#REF!</v>
      </c>
      <c r="V4" s="87" t="e">
        <f t="shared" ca="1" si="3"/>
        <v>#REF!</v>
      </c>
      <c r="W4" s="87" t="e">
        <f t="shared" ca="1" si="3"/>
        <v>#REF!</v>
      </c>
      <c r="X4" s="87" t="e">
        <f t="shared" ca="1" si="3"/>
        <v>#REF!</v>
      </c>
      <c r="Y4" s="87" t="e">
        <f t="shared" ca="1" si="3"/>
        <v>#REF!</v>
      </c>
      <c r="Z4" s="87" t="e">
        <f t="shared" ca="1" si="3"/>
        <v>#REF!</v>
      </c>
      <c r="AA4" s="87" t="e">
        <f t="shared" ca="1" si="3"/>
        <v>#REF!</v>
      </c>
      <c r="AB4" s="87" t="e">
        <f t="shared" ca="1" si="3"/>
        <v>#REF!</v>
      </c>
      <c r="AC4" s="87" t="e">
        <f t="shared" ca="1" si="3"/>
        <v>#REF!</v>
      </c>
      <c r="AD4" s="87" t="e">
        <f t="shared" ca="1" si="3"/>
        <v>#REF!</v>
      </c>
      <c r="AE4" s="87" t="e">
        <f t="shared" ca="1" si="3"/>
        <v>#REF!</v>
      </c>
      <c r="AF4" s="87" t="e">
        <f t="shared" ca="1" si="3"/>
        <v>#REF!</v>
      </c>
    </row>
    <row r="5" spans="1:32" x14ac:dyDescent="0.25">
      <c r="A5" s="80" t="e">
        <f t="shared" ref="A5:A24" si="4">IF(B5&gt;0,1+A4,"")</f>
        <v>#REF!</v>
      </c>
      <c r="B5" s="81" t="e">
        <f>MIN(#REF!)-G3</f>
        <v>#REF!</v>
      </c>
      <c r="C5" s="81" t="e">
        <f ca="1">IF(MIN(#REF!)&gt;0.08333,OFFSET(#REF!,MATCH(MIN(#REF!),#REF!,0),-4),MAX(#REF!))</f>
        <v>#REF!</v>
      </c>
      <c r="D5" s="81" t="e">
        <f ca="1">IF(MIN(#REF!)&gt;0.08333,OFFSET(#REF!,MATCH(MIN(#REF!),#REF!,0),-2),MIN(#REF!))</f>
        <v>#REF!</v>
      </c>
      <c r="E5" s="81" t="e">
        <f>IF(MIN(#REF!)&gt;0.08333,MAX(#REF!),MAX(#REF!))+G3</f>
        <v>#REF!</v>
      </c>
      <c r="F5" s="81" t="e">
        <f t="shared" si="2"/>
        <v>#REF!</v>
      </c>
      <c r="G5" s="81"/>
      <c r="H5" s="82"/>
      <c r="I5" s="83" t="e">
        <f t="shared" ref="I5:AF5" ca="1" si="5">IF(AND(J$1-$B5&gt;=0.0208333,$C5-I$1&gt;0.0208333),"X",IF(AND(J$1-$D5&gt;=0.0208333,$E5-I$1&gt;0.0208333),"X",IF(MROUND($C5,"01:00")=I$1,IF(J$1-$D5+$C5-I$1&gt;=0.02083,"X",""),"")))</f>
        <v>#REF!</v>
      </c>
      <c r="J5" s="83" t="e">
        <f t="shared" ca="1" si="5"/>
        <v>#REF!</v>
      </c>
      <c r="K5" s="83" t="e">
        <f t="shared" ca="1" si="5"/>
        <v>#REF!</v>
      </c>
      <c r="L5" s="83" t="e">
        <f t="shared" ca="1" si="5"/>
        <v>#REF!</v>
      </c>
      <c r="M5" s="83" t="e">
        <f t="shared" ca="1" si="5"/>
        <v>#REF!</v>
      </c>
      <c r="N5" s="83" t="e">
        <f t="shared" ca="1" si="5"/>
        <v>#REF!</v>
      </c>
      <c r="O5" s="83" t="e">
        <f t="shared" ca="1" si="5"/>
        <v>#REF!</v>
      </c>
      <c r="P5" s="83" t="e">
        <f t="shared" ca="1" si="5"/>
        <v>#REF!</v>
      </c>
      <c r="Q5" s="83" t="e">
        <f t="shared" ca="1" si="5"/>
        <v>#REF!</v>
      </c>
      <c r="R5" s="83" t="e">
        <f t="shared" ca="1" si="5"/>
        <v>#REF!</v>
      </c>
      <c r="S5" s="83" t="e">
        <f t="shared" ca="1" si="5"/>
        <v>#REF!</v>
      </c>
      <c r="T5" s="83" t="e">
        <f t="shared" ca="1" si="5"/>
        <v>#REF!</v>
      </c>
      <c r="U5" s="83" t="e">
        <f t="shared" ca="1" si="5"/>
        <v>#REF!</v>
      </c>
      <c r="V5" s="83" t="e">
        <f t="shared" ca="1" si="5"/>
        <v>#REF!</v>
      </c>
      <c r="W5" s="83" t="e">
        <f t="shared" ca="1" si="5"/>
        <v>#REF!</v>
      </c>
      <c r="X5" s="83" t="e">
        <f t="shared" ca="1" si="5"/>
        <v>#REF!</v>
      </c>
      <c r="Y5" s="83" t="e">
        <f t="shared" ca="1" si="5"/>
        <v>#REF!</v>
      </c>
      <c r="Z5" s="83" t="e">
        <f t="shared" ca="1" si="5"/>
        <v>#REF!</v>
      </c>
      <c r="AA5" s="83" t="e">
        <f t="shared" ca="1" si="5"/>
        <v>#REF!</v>
      </c>
      <c r="AB5" s="83" t="e">
        <f t="shared" ca="1" si="5"/>
        <v>#REF!</v>
      </c>
      <c r="AC5" s="83" t="e">
        <f t="shared" ca="1" si="5"/>
        <v>#REF!</v>
      </c>
      <c r="AD5" s="83" t="e">
        <f t="shared" ca="1" si="5"/>
        <v>#REF!</v>
      </c>
      <c r="AE5" s="83" t="e">
        <f t="shared" ca="1" si="5"/>
        <v>#REF!</v>
      </c>
      <c r="AF5" s="83" t="e">
        <f t="shared" ca="1" si="5"/>
        <v>#REF!</v>
      </c>
    </row>
    <row r="6" spans="1:32" x14ac:dyDescent="0.25">
      <c r="A6" s="84" t="e">
        <f t="shared" si="4"/>
        <v>#REF!</v>
      </c>
      <c r="B6" s="85" t="e">
        <f>MIN(#REF!)-G3</f>
        <v>#REF!</v>
      </c>
      <c r="C6" s="85" t="e">
        <f ca="1">IF(MIN(#REF!)&gt;0.08333,OFFSET(#REF!,MATCH(MIN(#REF!),#REF!,0),-4),MAX(#REF!))</f>
        <v>#REF!</v>
      </c>
      <c r="D6" s="85" t="e">
        <f ca="1">IF(MIN(#REF!)&gt;0.08333,OFFSET(#REF!,MATCH(MIN(#REF!),#REF!,0),-2),MIN(#REF!))</f>
        <v>#REF!</v>
      </c>
      <c r="E6" s="85" t="e">
        <f>IF(MIN(#REF!)&gt;0.08333,MAX(#REF!),MAX(#REF!))+G3</f>
        <v>#REF!</v>
      </c>
      <c r="F6" s="85" t="e">
        <f t="shared" si="2"/>
        <v>#REF!</v>
      </c>
      <c r="G6" s="85"/>
      <c r="H6" s="86"/>
      <c r="I6" s="87" t="e">
        <f t="shared" ref="I6:AF6" ca="1" si="6">IF(AND(J$1-$B6&gt;=0.0208333,$C6-I$1&gt;0.0208333),"X",IF(AND(J$1-$D6&gt;=0.0208333,$E6-I$1&gt;0.0208333),"X",IF(MROUND($C6,"01:00")=I$1,IF(J$1-$D6+$C6-I$1&gt;=0.02083,"X",""),"")))</f>
        <v>#REF!</v>
      </c>
      <c r="J6" s="87" t="e">
        <f t="shared" ca="1" si="6"/>
        <v>#REF!</v>
      </c>
      <c r="K6" s="87" t="e">
        <f t="shared" ca="1" si="6"/>
        <v>#REF!</v>
      </c>
      <c r="L6" s="87" t="e">
        <f t="shared" ca="1" si="6"/>
        <v>#REF!</v>
      </c>
      <c r="M6" s="87" t="e">
        <f t="shared" ca="1" si="6"/>
        <v>#REF!</v>
      </c>
      <c r="N6" s="87" t="e">
        <f t="shared" ca="1" si="6"/>
        <v>#REF!</v>
      </c>
      <c r="O6" s="87" t="e">
        <f t="shared" ca="1" si="6"/>
        <v>#REF!</v>
      </c>
      <c r="P6" s="87" t="e">
        <f t="shared" ca="1" si="6"/>
        <v>#REF!</v>
      </c>
      <c r="Q6" s="87" t="e">
        <f t="shared" ca="1" si="6"/>
        <v>#REF!</v>
      </c>
      <c r="R6" s="87" t="e">
        <f t="shared" ca="1" si="6"/>
        <v>#REF!</v>
      </c>
      <c r="S6" s="87" t="e">
        <f t="shared" ca="1" si="6"/>
        <v>#REF!</v>
      </c>
      <c r="T6" s="87" t="e">
        <f t="shared" ca="1" si="6"/>
        <v>#REF!</v>
      </c>
      <c r="U6" s="87" t="e">
        <f t="shared" ca="1" si="6"/>
        <v>#REF!</v>
      </c>
      <c r="V6" s="87" t="e">
        <f t="shared" ca="1" si="6"/>
        <v>#REF!</v>
      </c>
      <c r="W6" s="87" t="e">
        <f t="shared" ca="1" si="6"/>
        <v>#REF!</v>
      </c>
      <c r="X6" s="87" t="e">
        <f t="shared" ca="1" si="6"/>
        <v>#REF!</v>
      </c>
      <c r="Y6" s="87" t="e">
        <f t="shared" ca="1" si="6"/>
        <v>#REF!</v>
      </c>
      <c r="Z6" s="87" t="e">
        <f t="shared" ca="1" si="6"/>
        <v>#REF!</v>
      </c>
      <c r="AA6" s="87" t="e">
        <f t="shared" ca="1" si="6"/>
        <v>#REF!</v>
      </c>
      <c r="AB6" s="87" t="e">
        <f t="shared" ca="1" si="6"/>
        <v>#REF!</v>
      </c>
      <c r="AC6" s="87" t="e">
        <f t="shared" ca="1" si="6"/>
        <v>#REF!</v>
      </c>
      <c r="AD6" s="87" t="e">
        <f t="shared" ca="1" si="6"/>
        <v>#REF!</v>
      </c>
      <c r="AE6" s="87" t="e">
        <f t="shared" ca="1" si="6"/>
        <v>#REF!</v>
      </c>
      <c r="AF6" s="87" t="e">
        <f t="shared" ca="1" si="6"/>
        <v>#REF!</v>
      </c>
    </row>
    <row r="7" spans="1:32" x14ac:dyDescent="0.25">
      <c r="A7" s="80" t="e">
        <f t="shared" si="4"/>
        <v>#REF!</v>
      </c>
      <c r="B7" s="81" t="e">
        <f>MIN(#REF!)-G3</f>
        <v>#REF!</v>
      </c>
      <c r="C7" s="81" t="e">
        <f ca="1">IF(MIN(#REF!)&gt;0.08333,OFFSET(#REF!,MATCH(MIN(#REF!),#REF!,0),-4),MAX(#REF!))</f>
        <v>#REF!</v>
      </c>
      <c r="D7" s="81" t="e">
        <f ca="1">IF(MIN(#REF!)&gt;0.08333,OFFSET(#REF!,MATCH(MIN(#REF!),#REF!,0),-2),MIN(#REF!))</f>
        <v>#REF!</v>
      </c>
      <c r="E7" s="81" t="e">
        <f>IF(MIN(#REF!)&gt;0.08333,MAX(#REF!),MAX(#REF!))+G3</f>
        <v>#REF!</v>
      </c>
      <c r="F7" s="81" t="e">
        <f t="shared" si="2"/>
        <v>#REF!</v>
      </c>
      <c r="G7" s="81"/>
      <c r="H7" s="82"/>
      <c r="I7" s="83" t="e">
        <f t="shared" ref="I7:AF7" ca="1" si="7">IF(AND(J$1-$B7&gt;=0.0208333,$C7-I$1&gt;0.0208333),"X",IF(AND(J$1-$D7&gt;=0.0208333,$E7-I$1&gt;0.0208333),"X",IF(MROUND($C7,"01:00")=I$1,IF(J$1-$D7+$C7-I$1&gt;=0.02083,"X",""),"")))</f>
        <v>#REF!</v>
      </c>
      <c r="J7" s="83" t="e">
        <f t="shared" ca="1" si="7"/>
        <v>#REF!</v>
      </c>
      <c r="K7" s="83" t="e">
        <f t="shared" ca="1" si="7"/>
        <v>#REF!</v>
      </c>
      <c r="L7" s="83" t="e">
        <f t="shared" ca="1" si="7"/>
        <v>#REF!</v>
      </c>
      <c r="M7" s="83" t="e">
        <f t="shared" ca="1" si="7"/>
        <v>#REF!</v>
      </c>
      <c r="N7" s="83" t="e">
        <f t="shared" ca="1" si="7"/>
        <v>#REF!</v>
      </c>
      <c r="O7" s="83" t="e">
        <f t="shared" ca="1" si="7"/>
        <v>#REF!</v>
      </c>
      <c r="P7" s="83" t="e">
        <f t="shared" ca="1" si="7"/>
        <v>#REF!</v>
      </c>
      <c r="Q7" s="83" t="e">
        <f t="shared" ca="1" si="7"/>
        <v>#REF!</v>
      </c>
      <c r="R7" s="83" t="e">
        <f t="shared" ca="1" si="7"/>
        <v>#REF!</v>
      </c>
      <c r="S7" s="83" t="e">
        <f t="shared" ca="1" si="7"/>
        <v>#REF!</v>
      </c>
      <c r="T7" s="83" t="e">
        <f t="shared" ca="1" si="7"/>
        <v>#REF!</v>
      </c>
      <c r="U7" s="83" t="e">
        <f t="shared" ca="1" si="7"/>
        <v>#REF!</v>
      </c>
      <c r="V7" s="83" t="e">
        <f t="shared" ca="1" si="7"/>
        <v>#REF!</v>
      </c>
      <c r="W7" s="83" t="e">
        <f t="shared" ca="1" si="7"/>
        <v>#REF!</v>
      </c>
      <c r="X7" s="83" t="e">
        <f t="shared" ca="1" si="7"/>
        <v>#REF!</v>
      </c>
      <c r="Y7" s="83" t="e">
        <f t="shared" ca="1" si="7"/>
        <v>#REF!</v>
      </c>
      <c r="Z7" s="83" t="e">
        <f t="shared" ca="1" si="7"/>
        <v>#REF!</v>
      </c>
      <c r="AA7" s="83" t="e">
        <f t="shared" ca="1" si="7"/>
        <v>#REF!</v>
      </c>
      <c r="AB7" s="83" t="e">
        <f t="shared" ca="1" si="7"/>
        <v>#REF!</v>
      </c>
      <c r="AC7" s="83" t="e">
        <f t="shared" ca="1" si="7"/>
        <v>#REF!</v>
      </c>
      <c r="AD7" s="83" t="e">
        <f t="shared" ca="1" si="7"/>
        <v>#REF!</v>
      </c>
      <c r="AE7" s="83" t="e">
        <f t="shared" ca="1" si="7"/>
        <v>#REF!</v>
      </c>
      <c r="AF7" s="83" t="e">
        <f t="shared" ca="1" si="7"/>
        <v>#REF!</v>
      </c>
    </row>
    <row r="8" spans="1:32" x14ac:dyDescent="0.25">
      <c r="A8" s="84" t="e">
        <f t="shared" si="4"/>
        <v>#REF!</v>
      </c>
      <c r="B8" s="85" t="e">
        <f>MIN(#REF!)-G3</f>
        <v>#REF!</v>
      </c>
      <c r="C8" s="85" t="e">
        <f ca="1">IF(MIN(#REF!)&gt;0.08333,OFFSET(#REF!,MATCH(MIN(#REF!),#REF!,0),-4),MAX(#REF!))</f>
        <v>#REF!</v>
      </c>
      <c r="D8" s="85" t="e">
        <f ca="1">IF(MIN(#REF!)&gt;0.08333,OFFSET(#REF!,MATCH(MIN(#REF!),#REF!,0),-2),MIN(#REF!))</f>
        <v>#REF!</v>
      </c>
      <c r="E8" s="85" t="e">
        <f>IF(MIN(#REF!)&gt;0.08333,MAX(#REF!),MAX(#REF!))+G3</f>
        <v>#REF!</v>
      </c>
      <c r="F8" s="85" t="e">
        <f t="shared" si="2"/>
        <v>#REF!</v>
      </c>
      <c r="G8" s="85"/>
      <c r="H8" s="86"/>
      <c r="I8" s="87" t="e">
        <f t="shared" ref="I8:AF8" ca="1" si="8">IF(AND(J$1-$B8&gt;=0.0208333,$C8-I$1&gt;0.0208333),"X",IF(AND(J$1-$D8&gt;=0.0208333,$E8-I$1&gt;0.0208333),"X",IF(MROUND($C8,"01:00")=I$1,IF(J$1-$D8+$C8-I$1&gt;=0.02083,"X",""),"")))</f>
        <v>#REF!</v>
      </c>
      <c r="J8" s="87" t="e">
        <f t="shared" ca="1" si="8"/>
        <v>#REF!</v>
      </c>
      <c r="K8" s="87" t="e">
        <f t="shared" ca="1" si="8"/>
        <v>#REF!</v>
      </c>
      <c r="L8" s="87" t="e">
        <f t="shared" ca="1" si="8"/>
        <v>#REF!</v>
      </c>
      <c r="M8" s="87" t="e">
        <f t="shared" ca="1" si="8"/>
        <v>#REF!</v>
      </c>
      <c r="N8" s="87" t="e">
        <f t="shared" ca="1" si="8"/>
        <v>#REF!</v>
      </c>
      <c r="O8" s="87" t="e">
        <f t="shared" ca="1" si="8"/>
        <v>#REF!</v>
      </c>
      <c r="P8" s="87" t="e">
        <f t="shared" ca="1" si="8"/>
        <v>#REF!</v>
      </c>
      <c r="Q8" s="87" t="e">
        <f t="shared" ca="1" si="8"/>
        <v>#REF!</v>
      </c>
      <c r="R8" s="87" t="e">
        <f t="shared" ca="1" si="8"/>
        <v>#REF!</v>
      </c>
      <c r="S8" s="87" t="e">
        <f t="shared" ca="1" si="8"/>
        <v>#REF!</v>
      </c>
      <c r="T8" s="87" t="e">
        <f t="shared" ca="1" si="8"/>
        <v>#REF!</v>
      </c>
      <c r="U8" s="87" t="e">
        <f t="shared" ca="1" si="8"/>
        <v>#REF!</v>
      </c>
      <c r="V8" s="87" t="e">
        <f t="shared" ca="1" si="8"/>
        <v>#REF!</v>
      </c>
      <c r="W8" s="87" t="e">
        <f t="shared" ca="1" si="8"/>
        <v>#REF!</v>
      </c>
      <c r="X8" s="87" t="e">
        <f t="shared" ca="1" si="8"/>
        <v>#REF!</v>
      </c>
      <c r="Y8" s="87" t="e">
        <f t="shared" ca="1" si="8"/>
        <v>#REF!</v>
      </c>
      <c r="Z8" s="87" t="e">
        <f t="shared" ca="1" si="8"/>
        <v>#REF!</v>
      </c>
      <c r="AA8" s="87" t="e">
        <f t="shared" ca="1" si="8"/>
        <v>#REF!</v>
      </c>
      <c r="AB8" s="87" t="e">
        <f t="shared" ca="1" si="8"/>
        <v>#REF!</v>
      </c>
      <c r="AC8" s="87" t="e">
        <f t="shared" ca="1" si="8"/>
        <v>#REF!</v>
      </c>
      <c r="AD8" s="87" t="e">
        <f t="shared" ca="1" si="8"/>
        <v>#REF!</v>
      </c>
      <c r="AE8" s="87" t="e">
        <f t="shared" ca="1" si="8"/>
        <v>#REF!</v>
      </c>
      <c r="AF8" s="87" t="e">
        <f t="shared" ca="1" si="8"/>
        <v>#REF!</v>
      </c>
    </row>
    <row r="9" spans="1:32" x14ac:dyDescent="0.25">
      <c r="A9" s="80" t="e">
        <f t="shared" si="4"/>
        <v>#REF!</v>
      </c>
      <c r="B9" s="81" t="e">
        <f>MIN(#REF!)-G3</f>
        <v>#REF!</v>
      </c>
      <c r="C9" s="81" t="e">
        <f ca="1">IF(MIN(#REF!)&gt;0.08333,OFFSET(#REF!,MATCH(MIN(#REF!),#REF!,0),-4),MAX(#REF!))</f>
        <v>#REF!</v>
      </c>
      <c r="D9" s="81" t="e">
        <f ca="1">IF(MIN(#REF!)&gt;0.08333,OFFSET(#REF!,MATCH(MIN(#REF!),#REF!,0),-2),MIN(#REF!))</f>
        <v>#REF!</v>
      </c>
      <c r="E9" s="81" t="e">
        <f>IF(MIN(#REF!)&gt;0.08333,MAX(#REF!),MAX(#REF!))+G3</f>
        <v>#REF!</v>
      </c>
      <c r="F9" s="81" t="e">
        <f t="shared" si="2"/>
        <v>#REF!</v>
      </c>
      <c r="G9" s="81"/>
      <c r="H9" s="82"/>
      <c r="I9" s="83" t="e">
        <f t="shared" ref="I9:AF9" ca="1" si="9">IF(AND(J$1-$B9&gt;=0.0208333,$C9-I$1&gt;0.0208333),"X",IF(AND(J$1-$D9&gt;=0.0208333,$E9-I$1&gt;0.0208333),"X",IF(MROUND($C9,"01:00")=I$1,IF(J$1-$D9+$C9-I$1&gt;=0.02083,"X",""),"")))</f>
        <v>#REF!</v>
      </c>
      <c r="J9" s="83" t="e">
        <f t="shared" ca="1" si="9"/>
        <v>#REF!</v>
      </c>
      <c r="K9" s="83" t="e">
        <f t="shared" ca="1" si="9"/>
        <v>#REF!</v>
      </c>
      <c r="L9" s="83" t="e">
        <f t="shared" ca="1" si="9"/>
        <v>#REF!</v>
      </c>
      <c r="M9" s="83" t="e">
        <f t="shared" ca="1" si="9"/>
        <v>#REF!</v>
      </c>
      <c r="N9" s="83" t="e">
        <f t="shared" ca="1" si="9"/>
        <v>#REF!</v>
      </c>
      <c r="O9" s="83" t="e">
        <f t="shared" ca="1" si="9"/>
        <v>#REF!</v>
      </c>
      <c r="P9" s="83" t="e">
        <f t="shared" ca="1" si="9"/>
        <v>#REF!</v>
      </c>
      <c r="Q9" s="83" t="e">
        <f t="shared" ca="1" si="9"/>
        <v>#REF!</v>
      </c>
      <c r="R9" s="83" t="e">
        <f t="shared" ca="1" si="9"/>
        <v>#REF!</v>
      </c>
      <c r="S9" s="83" t="e">
        <f t="shared" ca="1" si="9"/>
        <v>#REF!</v>
      </c>
      <c r="T9" s="83" t="e">
        <f t="shared" ca="1" si="9"/>
        <v>#REF!</v>
      </c>
      <c r="U9" s="83" t="e">
        <f t="shared" ca="1" si="9"/>
        <v>#REF!</v>
      </c>
      <c r="V9" s="83" t="e">
        <f t="shared" ca="1" si="9"/>
        <v>#REF!</v>
      </c>
      <c r="W9" s="83" t="e">
        <f t="shared" ca="1" si="9"/>
        <v>#REF!</v>
      </c>
      <c r="X9" s="83" t="e">
        <f t="shared" ca="1" si="9"/>
        <v>#REF!</v>
      </c>
      <c r="Y9" s="83" t="e">
        <f t="shared" ca="1" si="9"/>
        <v>#REF!</v>
      </c>
      <c r="Z9" s="83" t="e">
        <f t="shared" ca="1" si="9"/>
        <v>#REF!</v>
      </c>
      <c r="AA9" s="83" t="e">
        <f t="shared" ca="1" si="9"/>
        <v>#REF!</v>
      </c>
      <c r="AB9" s="83" t="e">
        <f t="shared" ca="1" si="9"/>
        <v>#REF!</v>
      </c>
      <c r="AC9" s="83" t="e">
        <f t="shared" ca="1" si="9"/>
        <v>#REF!</v>
      </c>
      <c r="AD9" s="83" t="e">
        <f t="shared" ca="1" si="9"/>
        <v>#REF!</v>
      </c>
      <c r="AE9" s="83" t="e">
        <f t="shared" ca="1" si="9"/>
        <v>#REF!</v>
      </c>
      <c r="AF9" s="83" t="e">
        <f t="shared" ca="1" si="9"/>
        <v>#REF!</v>
      </c>
    </row>
    <row r="10" spans="1:32" x14ac:dyDescent="0.25">
      <c r="A10" s="84" t="e">
        <f t="shared" si="4"/>
        <v>#REF!</v>
      </c>
      <c r="B10" s="85" t="e">
        <f>MIN(#REF!)-G3</f>
        <v>#REF!</v>
      </c>
      <c r="C10" s="85" t="e">
        <f ca="1">IF(MIN(#REF!)&gt;0.08333,OFFSET(#REF!,MATCH(MIN(#REF!),#REF!,0),-4),MAX(#REF!))</f>
        <v>#REF!</v>
      </c>
      <c r="D10" s="85" t="e">
        <f ca="1">IF(MIN(#REF!)&gt;0.08333,OFFSET(#REF!,MATCH(MIN(#REF!),#REF!,0),-2),MIN(#REF!))</f>
        <v>#REF!</v>
      </c>
      <c r="E10" s="85" t="e">
        <f>IF(MIN(#REF!)&gt;0.08333,MAX(#REF!),MAX(#REF!))+G3</f>
        <v>#REF!</v>
      </c>
      <c r="F10" s="85" t="e">
        <f t="shared" si="2"/>
        <v>#REF!</v>
      </c>
      <c r="G10" s="85"/>
      <c r="H10" s="86"/>
      <c r="I10" s="87" t="e">
        <f t="shared" ref="I10:AF10" ca="1" si="10">IF(AND(J$1-$B10&gt;=0.0208333,$C10-I$1&gt;0.0208333),"X",IF(AND(J$1-$D10&gt;=0.0208333,$E10-I$1&gt;0.0208333),"X",IF(MROUND($C10,"01:00")=I$1,IF(J$1-$D10+$C10-I$1&gt;=0.02083,"X",""),"")))</f>
        <v>#REF!</v>
      </c>
      <c r="J10" s="87" t="e">
        <f t="shared" ca="1" si="10"/>
        <v>#REF!</v>
      </c>
      <c r="K10" s="87" t="e">
        <f t="shared" ca="1" si="10"/>
        <v>#REF!</v>
      </c>
      <c r="L10" s="87" t="e">
        <f t="shared" ca="1" si="10"/>
        <v>#REF!</v>
      </c>
      <c r="M10" s="87" t="e">
        <f t="shared" ca="1" si="10"/>
        <v>#REF!</v>
      </c>
      <c r="N10" s="87" t="e">
        <f t="shared" ca="1" si="10"/>
        <v>#REF!</v>
      </c>
      <c r="O10" s="87" t="e">
        <f t="shared" ca="1" si="10"/>
        <v>#REF!</v>
      </c>
      <c r="P10" s="87" t="e">
        <f t="shared" ca="1" si="10"/>
        <v>#REF!</v>
      </c>
      <c r="Q10" s="87" t="e">
        <f t="shared" ca="1" si="10"/>
        <v>#REF!</v>
      </c>
      <c r="R10" s="87" t="e">
        <f t="shared" ca="1" si="10"/>
        <v>#REF!</v>
      </c>
      <c r="S10" s="87" t="e">
        <f t="shared" ca="1" si="10"/>
        <v>#REF!</v>
      </c>
      <c r="T10" s="87" t="e">
        <f t="shared" ca="1" si="10"/>
        <v>#REF!</v>
      </c>
      <c r="U10" s="87" t="e">
        <f t="shared" ca="1" si="10"/>
        <v>#REF!</v>
      </c>
      <c r="V10" s="87" t="e">
        <f t="shared" ca="1" si="10"/>
        <v>#REF!</v>
      </c>
      <c r="W10" s="87" t="e">
        <f t="shared" ca="1" si="10"/>
        <v>#REF!</v>
      </c>
      <c r="X10" s="87" t="e">
        <f t="shared" ca="1" si="10"/>
        <v>#REF!</v>
      </c>
      <c r="Y10" s="87" t="e">
        <f t="shared" ca="1" si="10"/>
        <v>#REF!</v>
      </c>
      <c r="Z10" s="87" t="e">
        <f t="shared" ca="1" si="10"/>
        <v>#REF!</v>
      </c>
      <c r="AA10" s="87" t="e">
        <f t="shared" ca="1" si="10"/>
        <v>#REF!</v>
      </c>
      <c r="AB10" s="87" t="e">
        <f t="shared" ca="1" si="10"/>
        <v>#REF!</v>
      </c>
      <c r="AC10" s="87" t="e">
        <f t="shared" ca="1" si="10"/>
        <v>#REF!</v>
      </c>
      <c r="AD10" s="87" t="e">
        <f t="shared" ca="1" si="10"/>
        <v>#REF!</v>
      </c>
      <c r="AE10" s="87" t="e">
        <f t="shared" ca="1" si="10"/>
        <v>#REF!</v>
      </c>
      <c r="AF10" s="87" t="e">
        <f t="shared" ca="1" si="10"/>
        <v>#REF!</v>
      </c>
    </row>
    <row r="11" spans="1:32" x14ac:dyDescent="0.25">
      <c r="A11" s="80" t="e">
        <f t="shared" si="4"/>
        <v>#REF!</v>
      </c>
      <c r="B11" s="81" t="e">
        <f>MIN(#REF!)-G3</f>
        <v>#REF!</v>
      </c>
      <c r="C11" s="81" t="e">
        <f ca="1">IF(MIN(#REF!)&gt;0.08333,OFFSET(#REF!,MATCH(MIN(#REF!),#REF!,0),-4),MAX(#REF!))</f>
        <v>#REF!</v>
      </c>
      <c r="D11" s="81" t="e">
        <f ca="1">IF(MIN(#REF!)&gt;0.08333,OFFSET(#REF!,MATCH(MIN(#REF!),#REF!,0),-2),MIN(#REF!))</f>
        <v>#REF!</v>
      </c>
      <c r="E11" s="81" t="e">
        <f>IF(MIN(#REF!)&gt;0.08333,MAX(#REF!),MAX(#REF!))+G3</f>
        <v>#REF!</v>
      </c>
      <c r="F11" s="81" t="e">
        <f t="shared" si="2"/>
        <v>#REF!</v>
      </c>
      <c r="G11" s="81"/>
      <c r="H11" s="82"/>
      <c r="I11" s="83" t="e">
        <f t="shared" ref="I11:AF11" ca="1" si="11">IF(AND(J$1-$B11&gt;=0.0208333,$C11-I$1&gt;0.0208333),"X",IF(AND(J$1-$D11&gt;=0.0208333,$E11-I$1&gt;0.0208333),"X",IF(MROUND($C11,"01:00")=I$1,IF(J$1-$D11+$C11-I$1&gt;=0.02083,"X",""),"")))</f>
        <v>#REF!</v>
      </c>
      <c r="J11" s="83" t="e">
        <f t="shared" ca="1" si="11"/>
        <v>#REF!</v>
      </c>
      <c r="K11" s="83" t="e">
        <f t="shared" ca="1" si="11"/>
        <v>#REF!</v>
      </c>
      <c r="L11" s="83" t="e">
        <f t="shared" ca="1" si="11"/>
        <v>#REF!</v>
      </c>
      <c r="M11" s="83" t="e">
        <f t="shared" ca="1" si="11"/>
        <v>#REF!</v>
      </c>
      <c r="N11" s="83" t="e">
        <f t="shared" ca="1" si="11"/>
        <v>#REF!</v>
      </c>
      <c r="O11" s="83" t="e">
        <f t="shared" ca="1" si="11"/>
        <v>#REF!</v>
      </c>
      <c r="P11" s="83" t="e">
        <f t="shared" ca="1" si="11"/>
        <v>#REF!</v>
      </c>
      <c r="Q11" s="83" t="e">
        <f t="shared" ca="1" si="11"/>
        <v>#REF!</v>
      </c>
      <c r="R11" s="83" t="e">
        <f t="shared" ca="1" si="11"/>
        <v>#REF!</v>
      </c>
      <c r="S11" s="83" t="e">
        <f t="shared" ca="1" si="11"/>
        <v>#REF!</v>
      </c>
      <c r="T11" s="83" t="e">
        <f t="shared" ca="1" si="11"/>
        <v>#REF!</v>
      </c>
      <c r="U11" s="83" t="e">
        <f t="shared" ca="1" si="11"/>
        <v>#REF!</v>
      </c>
      <c r="V11" s="83" t="e">
        <f t="shared" ca="1" si="11"/>
        <v>#REF!</v>
      </c>
      <c r="W11" s="83" t="e">
        <f t="shared" ca="1" si="11"/>
        <v>#REF!</v>
      </c>
      <c r="X11" s="83" t="e">
        <f t="shared" ca="1" si="11"/>
        <v>#REF!</v>
      </c>
      <c r="Y11" s="83" t="e">
        <f t="shared" ca="1" si="11"/>
        <v>#REF!</v>
      </c>
      <c r="Z11" s="83" t="e">
        <f t="shared" ca="1" si="11"/>
        <v>#REF!</v>
      </c>
      <c r="AA11" s="83" t="e">
        <f t="shared" ca="1" si="11"/>
        <v>#REF!</v>
      </c>
      <c r="AB11" s="83" t="e">
        <f t="shared" ca="1" si="11"/>
        <v>#REF!</v>
      </c>
      <c r="AC11" s="83" t="e">
        <f t="shared" ca="1" si="11"/>
        <v>#REF!</v>
      </c>
      <c r="AD11" s="83" t="e">
        <f t="shared" ca="1" si="11"/>
        <v>#REF!</v>
      </c>
      <c r="AE11" s="83" t="e">
        <f t="shared" ca="1" si="11"/>
        <v>#REF!</v>
      </c>
      <c r="AF11" s="83" t="e">
        <f t="shared" ca="1" si="11"/>
        <v>#REF!</v>
      </c>
    </row>
    <row r="12" spans="1:32" x14ac:dyDescent="0.25">
      <c r="A12" s="84" t="e">
        <f t="shared" si="4"/>
        <v>#REF!</v>
      </c>
      <c r="B12" s="85" t="e">
        <f>MIN(#REF!)-G3</f>
        <v>#REF!</v>
      </c>
      <c r="C12" s="85" t="e">
        <f ca="1">IF(MIN(#REF!)&gt;0.08333,OFFSET(#REF!,MATCH(MIN(#REF!),#REF!,0),-4),MAX(#REF!))</f>
        <v>#REF!</v>
      </c>
      <c r="D12" s="85" t="e">
        <f ca="1">IF(MIN(#REF!)&gt;0.08333,OFFSET(#REF!,MATCH(MIN(#REF!),#REF!,0),-2),MIN(#REF!))</f>
        <v>#REF!</v>
      </c>
      <c r="E12" s="85" t="e">
        <f>IF(MIN(#REF!)&gt;0.08333,MAX(#REF!),MAX(#REF!))+G3</f>
        <v>#REF!</v>
      </c>
      <c r="F12" s="85" t="e">
        <f t="shared" si="2"/>
        <v>#REF!</v>
      </c>
      <c r="G12" s="85"/>
      <c r="H12" s="86"/>
      <c r="I12" s="87" t="e">
        <f t="shared" ref="I12:AF12" ca="1" si="12">IF(AND(J$1-$B12&gt;=0.0208333,$C12-I$1&gt;0.0208333),"X",IF(AND(J$1-$D12&gt;=0.0208333,$E12-I$1&gt;0.0208333),"X",IF(MROUND($C12,"01:00")=I$1,IF(J$1-$D12+$C12-I$1&gt;=0.02083,"X",""),"")))</f>
        <v>#REF!</v>
      </c>
      <c r="J12" s="87" t="e">
        <f t="shared" ca="1" si="12"/>
        <v>#REF!</v>
      </c>
      <c r="K12" s="87" t="e">
        <f t="shared" ca="1" si="12"/>
        <v>#REF!</v>
      </c>
      <c r="L12" s="87" t="e">
        <f t="shared" ca="1" si="12"/>
        <v>#REF!</v>
      </c>
      <c r="M12" s="87" t="e">
        <f t="shared" ca="1" si="12"/>
        <v>#REF!</v>
      </c>
      <c r="N12" s="87" t="e">
        <f t="shared" ca="1" si="12"/>
        <v>#REF!</v>
      </c>
      <c r="O12" s="87" t="e">
        <f t="shared" ca="1" si="12"/>
        <v>#REF!</v>
      </c>
      <c r="P12" s="87" t="e">
        <f t="shared" ca="1" si="12"/>
        <v>#REF!</v>
      </c>
      <c r="Q12" s="87" t="e">
        <f t="shared" ca="1" si="12"/>
        <v>#REF!</v>
      </c>
      <c r="R12" s="87" t="e">
        <f t="shared" ca="1" si="12"/>
        <v>#REF!</v>
      </c>
      <c r="S12" s="87" t="e">
        <f t="shared" ca="1" si="12"/>
        <v>#REF!</v>
      </c>
      <c r="T12" s="87" t="e">
        <f t="shared" ca="1" si="12"/>
        <v>#REF!</v>
      </c>
      <c r="U12" s="87" t="e">
        <f t="shared" ca="1" si="12"/>
        <v>#REF!</v>
      </c>
      <c r="V12" s="87" t="e">
        <f t="shared" ca="1" si="12"/>
        <v>#REF!</v>
      </c>
      <c r="W12" s="87" t="e">
        <f t="shared" ca="1" si="12"/>
        <v>#REF!</v>
      </c>
      <c r="X12" s="87" t="e">
        <f t="shared" ca="1" si="12"/>
        <v>#REF!</v>
      </c>
      <c r="Y12" s="87" t="e">
        <f t="shared" ca="1" si="12"/>
        <v>#REF!</v>
      </c>
      <c r="Z12" s="87" t="e">
        <f t="shared" ca="1" si="12"/>
        <v>#REF!</v>
      </c>
      <c r="AA12" s="87" t="e">
        <f t="shared" ca="1" si="12"/>
        <v>#REF!</v>
      </c>
      <c r="AB12" s="87" t="e">
        <f t="shared" ca="1" si="12"/>
        <v>#REF!</v>
      </c>
      <c r="AC12" s="87" t="e">
        <f t="shared" ca="1" si="12"/>
        <v>#REF!</v>
      </c>
      <c r="AD12" s="87" t="e">
        <f t="shared" ca="1" si="12"/>
        <v>#REF!</v>
      </c>
      <c r="AE12" s="87" t="e">
        <f t="shared" ca="1" si="12"/>
        <v>#REF!</v>
      </c>
      <c r="AF12" s="87" t="e">
        <f t="shared" ca="1" si="12"/>
        <v>#REF!</v>
      </c>
    </row>
    <row r="13" spans="1:32" x14ac:dyDescent="0.25">
      <c r="A13" s="80" t="e">
        <f t="shared" si="4"/>
        <v>#REF!</v>
      </c>
      <c r="B13" s="81" t="e">
        <f>MIN(#REF!)-G3</f>
        <v>#REF!</v>
      </c>
      <c r="C13" s="81" t="e">
        <f ca="1">IF(MIN(#REF!)&gt;0.08333,OFFSET(#REF!,MATCH(MIN(#REF!),#REF!,0),-4),MAX(#REF!))</f>
        <v>#REF!</v>
      </c>
      <c r="D13" s="81" t="e">
        <f ca="1">IF(MIN(#REF!)&gt;0.08333,OFFSET(#REF!,MATCH(MIN(#REF!),#REF!,0),-2),MIN(#REF!))</f>
        <v>#REF!</v>
      </c>
      <c r="E13" s="81" t="e">
        <f>IF(MIN(#REF!)&gt;0.08333,MAX(#REF!),MAX(#REF!))+G3</f>
        <v>#REF!</v>
      </c>
      <c r="F13" s="81" t="e">
        <f t="shared" si="2"/>
        <v>#REF!</v>
      </c>
      <c r="G13" s="81"/>
      <c r="H13" s="82"/>
      <c r="I13" s="83" t="e">
        <f t="shared" ref="I13:AF13" ca="1" si="13">IF(AND(J$1-$B13&gt;=0.0208333,$C13-I$1&gt;0.0208333),"X",IF(AND(J$1-$D13&gt;=0.0208333,$E13-I$1&gt;0.0208333),"X",IF(MROUND($C13,"01:00")=I$1,IF(J$1-$D13+$C13-I$1&gt;=0.02083,"X",""),"")))</f>
        <v>#REF!</v>
      </c>
      <c r="J13" s="83" t="e">
        <f t="shared" ca="1" si="13"/>
        <v>#REF!</v>
      </c>
      <c r="K13" s="83" t="e">
        <f t="shared" ca="1" si="13"/>
        <v>#REF!</v>
      </c>
      <c r="L13" s="83" t="e">
        <f t="shared" ca="1" si="13"/>
        <v>#REF!</v>
      </c>
      <c r="M13" s="83" t="e">
        <f t="shared" ca="1" si="13"/>
        <v>#REF!</v>
      </c>
      <c r="N13" s="83" t="e">
        <f t="shared" ca="1" si="13"/>
        <v>#REF!</v>
      </c>
      <c r="O13" s="83" t="e">
        <f t="shared" ca="1" si="13"/>
        <v>#REF!</v>
      </c>
      <c r="P13" s="83" t="e">
        <f t="shared" ca="1" si="13"/>
        <v>#REF!</v>
      </c>
      <c r="Q13" s="83" t="e">
        <f t="shared" ca="1" si="13"/>
        <v>#REF!</v>
      </c>
      <c r="R13" s="83" t="e">
        <f t="shared" ca="1" si="13"/>
        <v>#REF!</v>
      </c>
      <c r="S13" s="83" t="e">
        <f t="shared" ca="1" si="13"/>
        <v>#REF!</v>
      </c>
      <c r="T13" s="83" t="e">
        <f t="shared" ca="1" si="13"/>
        <v>#REF!</v>
      </c>
      <c r="U13" s="83" t="e">
        <f t="shared" ca="1" si="13"/>
        <v>#REF!</v>
      </c>
      <c r="V13" s="83" t="e">
        <f t="shared" ca="1" si="13"/>
        <v>#REF!</v>
      </c>
      <c r="W13" s="83" t="e">
        <f t="shared" ca="1" si="13"/>
        <v>#REF!</v>
      </c>
      <c r="X13" s="83" t="e">
        <f t="shared" ca="1" si="13"/>
        <v>#REF!</v>
      </c>
      <c r="Y13" s="83" t="e">
        <f t="shared" ca="1" si="13"/>
        <v>#REF!</v>
      </c>
      <c r="Z13" s="83" t="e">
        <f t="shared" ca="1" si="13"/>
        <v>#REF!</v>
      </c>
      <c r="AA13" s="83" t="e">
        <f t="shared" ca="1" si="13"/>
        <v>#REF!</v>
      </c>
      <c r="AB13" s="83" t="e">
        <f t="shared" ca="1" si="13"/>
        <v>#REF!</v>
      </c>
      <c r="AC13" s="83" t="e">
        <f t="shared" ca="1" si="13"/>
        <v>#REF!</v>
      </c>
      <c r="AD13" s="83" t="e">
        <f t="shared" ca="1" si="13"/>
        <v>#REF!</v>
      </c>
      <c r="AE13" s="83" t="e">
        <f t="shared" ca="1" si="13"/>
        <v>#REF!</v>
      </c>
      <c r="AF13" s="83" t="e">
        <f t="shared" ca="1" si="13"/>
        <v>#REF!</v>
      </c>
    </row>
    <row r="14" spans="1:32" x14ac:dyDescent="0.25">
      <c r="A14" s="84" t="e">
        <f t="shared" si="4"/>
        <v>#REF!</v>
      </c>
      <c r="B14" s="85" t="e">
        <f>MIN(#REF!)-G3</f>
        <v>#REF!</v>
      </c>
      <c r="C14" s="85" t="e">
        <f ca="1">IF(MIN(#REF!)&gt;0.08333,OFFSET(#REF!,MATCH(MIN(#REF!),#REF!,0),-4),MAX(#REF!))</f>
        <v>#REF!</v>
      </c>
      <c r="D14" s="85" t="e">
        <f ca="1">IF(MIN(#REF!)&gt;0.08333,OFFSET(#REF!,MATCH(MIN(#REF!),#REF!,0),-2),MIN(#REF!))</f>
        <v>#REF!</v>
      </c>
      <c r="E14" s="85" t="e">
        <f>IF(MIN(#REF!)&gt;0.08333,MAX(#REF!),MAX(#REF!))+G3</f>
        <v>#REF!</v>
      </c>
      <c r="F14" s="85" t="e">
        <f t="shared" si="2"/>
        <v>#REF!</v>
      </c>
      <c r="G14" s="85"/>
      <c r="H14" s="86"/>
      <c r="I14" s="87" t="e">
        <f t="shared" ref="I14:AF14" ca="1" si="14">IF(AND(J$1-$B14&gt;=0.0208333,$C14-I$1&gt;0.0208333),"X",IF(AND(J$1-$D14&gt;=0.0208333,$E14-I$1&gt;0.0208333),"X",IF(MROUND($C14,"01:00")=I$1,IF(J$1-$D14+$C14-I$1&gt;=0.02083,"X",""),"")))</f>
        <v>#REF!</v>
      </c>
      <c r="J14" s="87" t="e">
        <f t="shared" ca="1" si="14"/>
        <v>#REF!</v>
      </c>
      <c r="K14" s="87" t="e">
        <f t="shared" ca="1" si="14"/>
        <v>#REF!</v>
      </c>
      <c r="L14" s="87" t="e">
        <f t="shared" ca="1" si="14"/>
        <v>#REF!</v>
      </c>
      <c r="M14" s="87" t="e">
        <f t="shared" ca="1" si="14"/>
        <v>#REF!</v>
      </c>
      <c r="N14" s="87" t="e">
        <f t="shared" ca="1" si="14"/>
        <v>#REF!</v>
      </c>
      <c r="O14" s="87" t="e">
        <f t="shared" ca="1" si="14"/>
        <v>#REF!</v>
      </c>
      <c r="P14" s="87" t="e">
        <f t="shared" ca="1" si="14"/>
        <v>#REF!</v>
      </c>
      <c r="Q14" s="87" t="e">
        <f t="shared" ca="1" si="14"/>
        <v>#REF!</v>
      </c>
      <c r="R14" s="87" t="e">
        <f t="shared" ca="1" si="14"/>
        <v>#REF!</v>
      </c>
      <c r="S14" s="87" t="e">
        <f t="shared" ca="1" si="14"/>
        <v>#REF!</v>
      </c>
      <c r="T14" s="87" t="e">
        <f t="shared" ca="1" si="14"/>
        <v>#REF!</v>
      </c>
      <c r="U14" s="87" t="e">
        <f t="shared" ca="1" si="14"/>
        <v>#REF!</v>
      </c>
      <c r="V14" s="87" t="e">
        <f t="shared" ca="1" si="14"/>
        <v>#REF!</v>
      </c>
      <c r="W14" s="87" t="e">
        <f t="shared" ca="1" si="14"/>
        <v>#REF!</v>
      </c>
      <c r="X14" s="87" t="e">
        <f t="shared" ca="1" si="14"/>
        <v>#REF!</v>
      </c>
      <c r="Y14" s="87" t="e">
        <f t="shared" ca="1" si="14"/>
        <v>#REF!</v>
      </c>
      <c r="Z14" s="87" t="e">
        <f t="shared" ca="1" si="14"/>
        <v>#REF!</v>
      </c>
      <c r="AA14" s="87" t="e">
        <f t="shared" ca="1" si="14"/>
        <v>#REF!</v>
      </c>
      <c r="AB14" s="87" t="e">
        <f t="shared" ca="1" si="14"/>
        <v>#REF!</v>
      </c>
      <c r="AC14" s="87" t="e">
        <f t="shared" ca="1" si="14"/>
        <v>#REF!</v>
      </c>
      <c r="AD14" s="87" t="e">
        <f t="shared" ca="1" si="14"/>
        <v>#REF!</v>
      </c>
      <c r="AE14" s="87" t="e">
        <f t="shared" ca="1" si="14"/>
        <v>#REF!</v>
      </c>
      <c r="AF14" s="87" t="e">
        <f t="shared" ca="1" si="14"/>
        <v>#REF!</v>
      </c>
    </row>
    <row r="15" spans="1:32" x14ac:dyDescent="0.25">
      <c r="A15" s="80" t="e">
        <f t="shared" si="4"/>
        <v>#REF!</v>
      </c>
      <c r="B15" s="81" t="e">
        <f>MIN(#REF!)-G3</f>
        <v>#REF!</v>
      </c>
      <c r="C15" s="81" t="e">
        <f ca="1">IF(MIN(#REF!)&gt;0.08333,OFFSET(#REF!,MATCH(MIN(#REF!),#REF!,0),-4),MAX(#REF!))</f>
        <v>#REF!</v>
      </c>
      <c r="D15" s="81" t="e">
        <f ca="1">IF(MIN(#REF!)&gt;0.08333,OFFSET(#REF!,MATCH(MIN(#REF!),#REF!,0),-2),MIN(#REF!))</f>
        <v>#REF!</v>
      </c>
      <c r="E15" s="81" t="e">
        <f>IF(MIN(#REF!)&gt;0.08333,MAX(#REF!),MAX(#REF!))+G3</f>
        <v>#REF!</v>
      </c>
      <c r="F15" s="81" t="e">
        <f t="shared" si="2"/>
        <v>#REF!</v>
      </c>
      <c r="G15" s="81"/>
      <c r="H15" s="82"/>
      <c r="I15" s="83" t="e">
        <f t="shared" ref="I15:AF15" ca="1" si="15">IF(AND(J$1-$B15&gt;=0.0208333,$C15-I$1&gt;0.0208333),"X",IF(AND(J$1-$D15&gt;=0.0208333,$E15-I$1&gt;0.0208333),"X",IF(MROUND($C15,"01:00")=I$1,IF(J$1-$D15+$C15-I$1&gt;=0.02083,"X",""),"")))</f>
        <v>#REF!</v>
      </c>
      <c r="J15" s="83" t="e">
        <f t="shared" ca="1" si="15"/>
        <v>#REF!</v>
      </c>
      <c r="K15" s="83" t="e">
        <f t="shared" ca="1" si="15"/>
        <v>#REF!</v>
      </c>
      <c r="L15" s="83" t="e">
        <f t="shared" ca="1" si="15"/>
        <v>#REF!</v>
      </c>
      <c r="M15" s="83" t="e">
        <f t="shared" ca="1" si="15"/>
        <v>#REF!</v>
      </c>
      <c r="N15" s="83" t="e">
        <f t="shared" ca="1" si="15"/>
        <v>#REF!</v>
      </c>
      <c r="O15" s="83" t="e">
        <f t="shared" ca="1" si="15"/>
        <v>#REF!</v>
      </c>
      <c r="P15" s="83" t="e">
        <f t="shared" ca="1" si="15"/>
        <v>#REF!</v>
      </c>
      <c r="Q15" s="83" t="e">
        <f t="shared" ca="1" si="15"/>
        <v>#REF!</v>
      </c>
      <c r="R15" s="83" t="e">
        <f t="shared" ca="1" si="15"/>
        <v>#REF!</v>
      </c>
      <c r="S15" s="83" t="e">
        <f t="shared" ca="1" si="15"/>
        <v>#REF!</v>
      </c>
      <c r="T15" s="83" t="e">
        <f t="shared" ca="1" si="15"/>
        <v>#REF!</v>
      </c>
      <c r="U15" s="83" t="e">
        <f t="shared" ca="1" si="15"/>
        <v>#REF!</v>
      </c>
      <c r="V15" s="83" t="e">
        <f t="shared" ca="1" si="15"/>
        <v>#REF!</v>
      </c>
      <c r="W15" s="83" t="e">
        <f t="shared" ca="1" si="15"/>
        <v>#REF!</v>
      </c>
      <c r="X15" s="83" t="e">
        <f t="shared" ca="1" si="15"/>
        <v>#REF!</v>
      </c>
      <c r="Y15" s="83" t="e">
        <f t="shared" ca="1" si="15"/>
        <v>#REF!</v>
      </c>
      <c r="Z15" s="83" t="e">
        <f t="shared" ca="1" si="15"/>
        <v>#REF!</v>
      </c>
      <c r="AA15" s="83" t="e">
        <f t="shared" ca="1" si="15"/>
        <v>#REF!</v>
      </c>
      <c r="AB15" s="83" t="e">
        <f t="shared" ca="1" si="15"/>
        <v>#REF!</v>
      </c>
      <c r="AC15" s="83" t="e">
        <f t="shared" ca="1" si="15"/>
        <v>#REF!</v>
      </c>
      <c r="AD15" s="83" t="e">
        <f t="shared" ca="1" si="15"/>
        <v>#REF!</v>
      </c>
      <c r="AE15" s="83" t="e">
        <f t="shared" ca="1" si="15"/>
        <v>#REF!</v>
      </c>
      <c r="AF15" s="83" t="e">
        <f t="shared" ca="1" si="15"/>
        <v>#REF!</v>
      </c>
    </row>
    <row r="16" spans="1:32" x14ac:dyDescent="0.25">
      <c r="A16" s="84" t="e">
        <f t="shared" si="4"/>
        <v>#REF!</v>
      </c>
      <c r="B16" s="85" t="e">
        <f>MIN(#REF!)-G3</f>
        <v>#REF!</v>
      </c>
      <c r="C16" s="85" t="e">
        <f ca="1">IF(MIN(#REF!)&gt;0.08333,OFFSET(#REF!,MATCH(MIN(#REF!),#REF!,0),-4),MAX(#REF!))</f>
        <v>#REF!</v>
      </c>
      <c r="D16" s="85" t="e">
        <f ca="1">IF(MIN(#REF!)&gt;0.08333,OFFSET(#REF!,MATCH(MIN(#REF!),#REF!,0),-2),MIN(#REF!))</f>
        <v>#REF!</v>
      </c>
      <c r="E16" s="85" t="e">
        <f>IF(MIN(#REF!)&gt;0.08333,MAX(#REF!),MAX(#REF!))+G3</f>
        <v>#REF!</v>
      </c>
      <c r="F16" s="85" t="e">
        <f t="shared" si="2"/>
        <v>#REF!</v>
      </c>
      <c r="G16" s="85"/>
      <c r="H16" s="86"/>
      <c r="I16" s="87" t="e">
        <f t="shared" ref="I16:AF16" ca="1" si="16">IF(AND(J$1-$B16&gt;=0.0208333,$C16-I$1&gt;0.0208333),"X",IF(AND(J$1-$D16&gt;=0.0208333,$E16-I$1&gt;0.0208333),"X",IF(MROUND($C16,"01:00")=I$1,IF(J$1-$D16+$C16-I$1&gt;=0.02083,"X",""),"")))</f>
        <v>#REF!</v>
      </c>
      <c r="J16" s="87" t="e">
        <f t="shared" ca="1" si="16"/>
        <v>#REF!</v>
      </c>
      <c r="K16" s="87" t="e">
        <f t="shared" ca="1" si="16"/>
        <v>#REF!</v>
      </c>
      <c r="L16" s="87" t="e">
        <f t="shared" ca="1" si="16"/>
        <v>#REF!</v>
      </c>
      <c r="M16" s="87" t="e">
        <f t="shared" ca="1" si="16"/>
        <v>#REF!</v>
      </c>
      <c r="N16" s="87" t="e">
        <f t="shared" ca="1" si="16"/>
        <v>#REF!</v>
      </c>
      <c r="O16" s="87" t="e">
        <f t="shared" ca="1" si="16"/>
        <v>#REF!</v>
      </c>
      <c r="P16" s="87" t="e">
        <f t="shared" ca="1" si="16"/>
        <v>#REF!</v>
      </c>
      <c r="Q16" s="87" t="e">
        <f t="shared" ca="1" si="16"/>
        <v>#REF!</v>
      </c>
      <c r="R16" s="87" t="e">
        <f t="shared" ca="1" si="16"/>
        <v>#REF!</v>
      </c>
      <c r="S16" s="87" t="e">
        <f t="shared" ca="1" si="16"/>
        <v>#REF!</v>
      </c>
      <c r="T16" s="87" t="e">
        <f t="shared" ca="1" si="16"/>
        <v>#REF!</v>
      </c>
      <c r="U16" s="87" t="e">
        <f t="shared" ca="1" si="16"/>
        <v>#REF!</v>
      </c>
      <c r="V16" s="87" t="e">
        <f t="shared" ca="1" si="16"/>
        <v>#REF!</v>
      </c>
      <c r="W16" s="87" t="e">
        <f t="shared" ca="1" si="16"/>
        <v>#REF!</v>
      </c>
      <c r="X16" s="87" t="e">
        <f t="shared" ca="1" si="16"/>
        <v>#REF!</v>
      </c>
      <c r="Y16" s="87" t="e">
        <f t="shared" ca="1" si="16"/>
        <v>#REF!</v>
      </c>
      <c r="Z16" s="87" t="e">
        <f t="shared" ca="1" si="16"/>
        <v>#REF!</v>
      </c>
      <c r="AA16" s="87" t="e">
        <f t="shared" ca="1" si="16"/>
        <v>#REF!</v>
      </c>
      <c r="AB16" s="87" t="e">
        <f t="shared" ca="1" si="16"/>
        <v>#REF!</v>
      </c>
      <c r="AC16" s="87" t="e">
        <f t="shared" ca="1" si="16"/>
        <v>#REF!</v>
      </c>
      <c r="AD16" s="87" t="e">
        <f t="shared" ca="1" si="16"/>
        <v>#REF!</v>
      </c>
      <c r="AE16" s="87" t="e">
        <f t="shared" ca="1" si="16"/>
        <v>#REF!</v>
      </c>
      <c r="AF16" s="87" t="e">
        <f t="shared" ca="1" si="16"/>
        <v>#REF!</v>
      </c>
    </row>
    <row r="17" spans="1:32" x14ac:dyDescent="0.25">
      <c r="A17" s="80" t="e">
        <f t="shared" si="4"/>
        <v>#REF!</v>
      </c>
      <c r="B17" s="81" t="e">
        <f>MIN(#REF!)-G3</f>
        <v>#REF!</v>
      </c>
      <c r="C17" s="81" t="e">
        <f ca="1">IF(MIN(#REF!)&gt;0.08333,OFFSET(#REF!,MATCH(MIN(#REF!),#REF!,0),-4),MAX(#REF!))</f>
        <v>#REF!</v>
      </c>
      <c r="D17" s="81" t="e">
        <f ca="1">IF(MIN(#REF!)&gt;0.08333,OFFSET(#REF!,MATCH(MIN(#REF!),#REF!,0),-2),MIN(#REF!))</f>
        <v>#REF!</v>
      </c>
      <c r="E17" s="81" t="e">
        <f>IF(MIN(#REF!)&gt;0.08333,MAX(#REF!),MAX(#REF!))+G3</f>
        <v>#REF!</v>
      </c>
      <c r="F17" s="81" t="e">
        <f t="shared" si="2"/>
        <v>#REF!</v>
      </c>
      <c r="G17" s="81"/>
      <c r="H17" s="82"/>
      <c r="I17" s="83" t="e">
        <f t="shared" ref="I17:AF17" ca="1" si="17">IF(AND(J$1-$B17&gt;=0.0208333,$C17-I$1&gt;0.0208333),"X",IF(AND(J$1-$D17&gt;=0.0208333,$E17-I$1&gt;0.0208333),"X",IF(MROUND($C17,"01:00")=I$1,IF(J$1-$D17+$C17-I$1&gt;=0.02083,"X",""),"")))</f>
        <v>#REF!</v>
      </c>
      <c r="J17" s="83" t="e">
        <f t="shared" ca="1" si="17"/>
        <v>#REF!</v>
      </c>
      <c r="K17" s="83" t="e">
        <f t="shared" ca="1" si="17"/>
        <v>#REF!</v>
      </c>
      <c r="L17" s="83" t="e">
        <f t="shared" ca="1" si="17"/>
        <v>#REF!</v>
      </c>
      <c r="M17" s="83" t="e">
        <f t="shared" ca="1" si="17"/>
        <v>#REF!</v>
      </c>
      <c r="N17" s="83" t="e">
        <f t="shared" ca="1" si="17"/>
        <v>#REF!</v>
      </c>
      <c r="O17" s="83" t="e">
        <f t="shared" ca="1" si="17"/>
        <v>#REF!</v>
      </c>
      <c r="P17" s="83" t="e">
        <f t="shared" ca="1" si="17"/>
        <v>#REF!</v>
      </c>
      <c r="Q17" s="83" t="e">
        <f t="shared" ca="1" si="17"/>
        <v>#REF!</v>
      </c>
      <c r="R17" s="83" t="e">
        <f t="shared" ca="1" si="17"/>
        <v>#REF!</v>
      </c>
      <c r="S17" s="83" t="e">
        <f t="shared" ca="1" si="17"/>
        <v>#REF!</v>
      </c>
      <c r="T17" s="83" t="e">
        <f t="shared" ca="1" si="17"/>
        <v>#REF!</v>
      </c>
      <c r="U17" s="83" t="e">
        <f t="shared" ca="1" si="17"/>
        <v>#REF!</v>
      </c>
      <c r="V17" s="83" t="e">
        <f t="shared" ca="1" si="17"/>
        <v>#REF!</v>
      </c>
      <c r="W17" s="83" t="e">
        <f t="shared" ca="1" si="17"/>
        <v>#REF!</v>
      </c>
      <c r="X17" s="83" t="e">
        <f t="shared" ca="1" si="17"/>
        <v>#REF!</v>
      </c>
      <c r="Y17" s="83" t="e">
        <f t="shared" ca="1" si="17"/>
        <v>#REF!</v>
      </c>
      <c r="Z17" s="83" t="e">
        <f t="shared" ca="1" si="17"/>
        <v>#REF!</v>
      </c>
      <c r="AA17" s="83" t="e">
        <f t="shared" ca="1" si="17"/>
        <v>#REF!</v>
      </c>
      <c r="AB17" s="83" t="e">
        <f t="shared" ca="1" si="17"/>
        <v>#REF!</v>
      </c>
      <c r="AC17" s="83" t="e">
        <f t="shared" ca="1" si="17"/>
        <v>#REF!</v>
      </c>
      <c r="AD17" s="83" t="e">
        <f t="shared" ca="1" si="17"/>
        <v>#REF!</v>
      </c>
      <c r="AE17" s="83" t="e">
        <f t="shared" ca="1" si="17"/>
        <v>#REF!</v>
      </c>
      <c r="AF17" s="83" t="e">
        <f t="shared" ca="1" si="17"/>
        <v>#REF!</v>
      </c>
    </row>
    <row r="18" spans="1:32" x14ac:dyDescent="0.25">
      <c r="A18" s="84" t="e">
        <f t="shared" si="4"/>
        <v>#REF!</v>
      </c>
      <c r="B18" s="85" t="e">
        <f>MIN(#REF!)-G3</f>
        <v>#REF!</v>
      </c>
      <c r="C18" s="85" t="e">
        <f ca="1">IF(MIN(#REF!)&gt;0.08333,OFFSET(#REF!,MATCH(MIN(#REF!),#REF!,0),-4),MAX(#REF!))</f>
        <v>#REF!</v>
      </c>
      <c r="D18" s="85" t="e">
        <f ca="1">IF(MIN(#REF!)&gt;0.08333,OFFSET(#REF!,MATCH(MIN(#REF!),#REF!,0),-2),MIN(#REF!))</f>
        <v>#REF!</v>
      </c>
      <c r="E18" s="85" t="e">
        <f>IF(MIN(#REF!)&gt;0.08333,MAX(#REF!),MAX(#REF!))+G3</f>
        <v>#REF!</v>
      </c>
      <c r="F18" s="85" t="e">
        <f t="shared" si="2"/>
        <v>#REF!</v>
      </c>
      <c r="G18" s="85"/>
      <c r="H18" s="86"/>
      <c r="I18" s="87" t="e">
        <f t="shared" ref="I18:AF18" ca="1" si="18">IF(AND(J$1-$B18&gt;=0.0208333,$C18-I$1&gt;0.0208333),"X",IF(AND(J$1-$D18&gt;=0.0208333,$E18-I$1&gt;0.0208333),"X",IF(MROUND($C18,"01:00")=I$1,IF(J$1-$D18+$C18-I$1&gt;=0.02083,"X",""),"")))</f>
        <v>#REF!</v>
      </c>
      <c r="J18" s="87" t="e">
        <f t="shared" ca="1" si="18"/>
        <v>#REF!</v>
      </c>
      <c r="K18" s="87" t="e">
        <f t="shared" ca="1" si="18"/>
        <v>#REF!</v>
      </c>
      <c r="L18" s="87" t="e">
        <f t="shared" ca="1" si="18"/>
        <v>#REF!</v>
      </c>
      <c r="M18" s="87" t="e">
        <f t="shared" ca="1" si="18"/>
        <v>#REF!</v>
      </c>
      <c r="N18" s="87" t="e">
        <f t="shared" ca="1" si="18"/>
        <v>#REF!</v>
      </c>
      <c r="O18" s="87" t="e">
        <f t="shared" ca="1" si="18"/>
        <v>#REF!</v>
      </c>
      <c r="P18" s="87" t="e">
        <f t="shared" ca="1" si="18"/>
        <v>#REF!</v>
      </c>
      <c r="Q18" s="87" t="e">
        <f t="shared" ca="1" si="18"/>
        <v>#REF!</v>
      </c>
      <c r="R18" s="87" t="e">
        <f t="shared" ca="1" si="18"/>
        <v>#REF!</v>
      </c>
      <c r="S18" s="87" t="e">
        <f t="shared" ca="1" si="18"/>
        <v>#REF!</v>
      </c>
      <c r="T18" s="87" t="e">
        <f t="shared" ca="1" si="18"/>
        <v>#REF!</v>
      </c>
      <c r="U18" s="87" t="e">
        <f t="shared" ca="1" si="18"/>
        <v>#REF!</v>
      </c>
      <c r="V18" s="87" t="e">
        <f t="shared" ca="1" si="18"/>
        <v>#REF!</v>
      </c>
      <c r="W18" s="87" t="e">
        <f t="shared" ca="1" si="18"/>
        <v>#REF!</v>
      </c>
      <c r="X18" s="87" t="e">
        <f t="shared" ca="1" si="18"/>
        <v>#REF!</v>
      </c>
      <c r="Y18" s="87" t="e">
        <f t="shared" ca="1" si="18"/>
        <v>#REF!</v>
      </c>
      <c r="Z18" s="87" t="e">
        <f t="shared" ca="1" si="18"/>
        <v>#REF!</v>
      </c>
      <c r="AA18" s="87" t="e">
        <f t="shared" ca="1" si="18"/>
        <v>#REF!</v>
      </c>
      <c r="AB18" s="87" t="e">
        <f t="shared" ca="1" si="18"/>
        <v>#REF!</v>
      </c>
      <c r="AC18" s="87" t="e">
        <f t="shared" ca="1" si="18"/>
        <v>#REF!</v>
      </c>
      <c r="AD18" s="87" t="e">
        <f t="shared" ca="1" si="18"/>
        <v>#REF!</v>
      </c>
      <c r="AE18" s="87" t="e">
        <f t="shared" ca="1" si="18"/>
        <v>#REF!</v>
      </c>
      <c r="AF18" s="87" t="e">
        <f t="shared" ca="1" si="18"/>
        <v>#REF!</v>
      </c>
    </row>
    <row r="19" spans="1:32" x14ac:dyDescent="0.25">
      <c r="A19" s="80" t="e">
        <f t="shared" si="4"/>
        <v>#REF!</v>
      </c>
      <c r="B19" s="81" t="e">
        <f>MIN(#REF!)-G3</f>
        <v>#REF!</v>
      </c>
      <c r="C19" s="81" t="e">
        <f ca="1">IF(MIN(#REF!)&gt;0.08333,OFFSET(#REF!,MATCH(MIN(#REF!),#REF!,0),-4),MAX(#REF!))</f>
        <v>#REF!</v>
      </c>
      <c r="D19" s="81" t="e">
        <f ca="1">IF(MIN(#REF!)&gt;0.08333,OFFSET(#REF!,MATCH(MIN(#REF!),#REF!,0),-2),MIN(#REF!))</f>
        <v>#REF!</v>
      </c>
      <c r="E19" s="81" t="e">
        <f>IF(MIN(#REF!)&gt;0.08333,MAX(#REF!),MAX(#REF!))+G3</f>
        <v>#REF!</v>
      </c>
      <c r="F19" s="81" t="e">
        <f t="shared" si="2"/>
        <v>#REF!</v>
      </c>
      <c r="G19" s="81"/>
      <c r="H19" s="82"/>
      <c r="I19" s="83" t="e">
        <f t="shared" ref="I19:AF19" ca="1" si="19">IF(AND(J$1-$B19&gt;=0.0208333,$C19-I$1&gt;0.0208333),"X",IF(AND(J$1-$D19&gt;=0.0208333,$E19-I$1&gt;0.0208333),"X",IF(MROUND($C19,"01:00")=I$1,IF(J$1-$D19+$C19-I$1&gt;=0.02083,"X",""),"")))</f>
        <v>#REF!</v>
      </c>
      <c r="J19" s="83" t="e">
        <f t="shared" ca="1" si="19"/>
        <v>#REF!</v>
      </c>
      <c r="K19" s="83" t="e">
        <f t="shared" ca="1" si="19"/>
        <v>#REF!</v>
      </c>
      <c r="L19" s="83" t="e">
        <f t="shared" ca="1" si="19"/>
        <v>#REF!</v>
      </c>
      <c r="M19" s="83" t="e">
        <f t="shared" ca="1" si="19"/>
        <v>#REF!</v>
      </c>
      <c r="N19" s="83" t="e">
        <f t="shared" ca="1" si="19"/>
        <v>#REF!</v>
      </c>
      <c r="O19" s="83" t="e">
        <f t="shared" ca="1" si="19"/>
        <v>#REF!</v>
      </c>
      <c r="P19" s="83" t="e">
        <f t="shared" ca="1" si="19"/>
        <v>#REF!</v>
      </c>
      <c r="Q19" s="83" t="e">
        <f t="shared" ca="1" si="19"/>
        <v>#REF!</v>
      </c>
      <c r="R19" s="83" t="e">
        <f t="shared" ca="1" si="19"/>
        <v>#REF!</v>
      </c>
      <c r="S19" s="83" t="e">
        <f t="shared" ca="1" si="19"/>
        <v>#REF!</v>
      </c>
      <c r="T19" s="83" t="e">
        <f t="shared" ca="1" si="19"/>
        <v>#REF!</v>
      </c>
      <c r="U19" s="83" t="e">
        <f t="shared" ca="1" si="19"/>
        <v>#REF!</v>
      </c>
      <c r="V19" s="83" t="e">
        <f t="shared" ca="1" si="19"/>
        <v>#REF!</v>
      </c>
      <c r="W19" s="83" t="e">
        <f t="shared" ca="1" si="19"/>
        <v>#REF!</v>
      </c>
      <c r="X19" s="83" t="e">
        <f t="shared" ca="1" si="19"/>
        <v>#REF!</v>
      </c>
      <c r="Y19" s="83" t="e">
        <f t="shared" ca="1" si="19"/>
        <v>#REF!</v>
      </c>
      <c r="Z19" s="83" t="e">
        <f t="shared" ca="1" si="19"/>
        <v>#REF!</v>
      </c>
      <c r="AA19" s="83" t="e">
        <f t="shared" ca="1" si="19"/>
        <v>#REF!</v>
      </c>
      <c r="AB19" s="83" t="e">
        <f t="shared" ca="1" si="19"/>
        <v>#REF!</v>
      </c>
      <c r="AC19" s="83" t="e">
        <f t="shared" ca="1" si="19"/>
        <v>#REF!</v>
      </c>
      <c r="AD19" s="83" t="e">
        <f t="shared" ca="1" si="19"/>
        <v>#REF!</v>
      </c>
      <c r="AE19" s="83" t="e">
        <f t="shared" ca="1" si="19"/>
        <v>#REF!</v>
      </c>
      <c r="AF19" s="83" t="e">
        <f t="shared" ca="1" si="19"/>
        <v>#REF!</v>
      </c>
    </row>
    <row r="20" spans="1:32" x14ac:dyDescent="0.25">
      <c r="A20" s="84" t="e">
        <f t="shared" si="4"/>
        <v>#REF!</v>
      </c>
      <c r="B20" s="85" t="e">
        <f>MIN(#REF!)-G3</f>
        <v>#REF!</v>
      </c>
      <c r="C20" s="85" t="e">
        <f ca="1">IF(MIN(#REF!)&gt;0.08333,OFFSET(#REF!,MATCH(MIN(#REF!),#REF!,0),-4),MAX(#REF!))</f>
        <v>#REF!</v>
      </c>
      <c r="D20" s="85" t="e">
        <f ca="1">IF(MIN(#REF!)&gt;0.08333,OFFSET(#REF!,MATCH(MIN(#REF!),#REF!,0),-2),MIN(#REF!))</f>
        <v>#REF!</v>
      </c>
      <c r="E20" s="85" t="e">
        <f>IF(MIN(#REF!)&gt;0.08333,MAX(#REF!),MAX(#REF!))+G3</f>
        <v>#REF!</v>
      </c>
      <c r="F20" s="85" t="e">
        <f t="shared" si="2"/>
        <v>#REF!</v>
      </c>
      <c r="G20" s="85"/>
      <c r="H20" s="86"/>
      <c r="I20" s="87" t="e">
        <f t="shared" ref="I20:AF20" ca="1" si="20">IF(AND(J$1-$B20&gt;=0.0208333,$C20-I$1&gt;0.0208333),"X",IF(AND(J$1-$D20&gt;=0.0208333,$E20-I$1&gt;0.0208333),"X",IF(MROUND($C20,"01:00")=I$1,IF(J$1-$D20+$C20-I$1&gt;=0.02083,"X",""),"")))</f>
        <v>#REF!</v>
      </c>
      <c r="J20" s="87" t="e">
        <f t="shared" ca="1" si="20"/>
        <v>#REF!</v>
      </c>
      <c r="K20" s="87" t="e">
        <f t="shared" ca="1" si="20"/>
        <v>#REF!</v>
      </c>
      <c r="L20" s="87" t="e">
        <f t="shared" ca="1" si="20"/>
        <v>#REF!</v>
      </c>
      <c r="M20" s="87" t="e">
        <f t="shared" ca="1" si="20"/>
        <v>#REF!</v>
      </c>
      <c r="N20" s="87" t="e">
        <f t="shared" ca="1" si="20"/>
        <v>#REF!</v>
      </c>
      <c r="O20" s="87" t="e">
        <f t="shared" ca="1" si="20"/>
        <v>#REF!</v>
      </c>
      <c r="P20" s="87" t="e">
        <f t="shared" ca="1" si="20"/>
        <v>#REF!</v>
      </c>
      <c r="Q20" s="87" t="e">
        <f t="shared" ca="1" si="20"/>
        <v>#REF!</v>
      </c>
      <c r="R20" s="87" t="e">
        <f t="shared" ca="1" si="20"/>
        <v>#REF!</v>
      </c>
      <c r="S20" s="87" t="e">
        <f t="shared" ca="1" si="20"/>
        <v>#REF!</v>
      </c>
      <c r="T20" s="87" t="e">
        <f t="shared" ca="1" si="20"/>
        <v>#REF!</v>
      </c>
      <c r="U20" s="87" t="e">
        <f t="shared" ca="1" si="20"/>
        <v>#REF!</v>
      </c>
      <c r="V20" s="87" t="e">
        <f t="shared" ca="1" si="20"/>
        <v>#REF!</v>
      </c>
      <c r="W20" s="87" t="e">
        <f t="shared" ca="1" si="20"/>
        <v>#REF!</v>
      </c>
      <c r="X20" s="87" t="e">
        <f t="shared" ca="1" si="20"/>
        <v>#REF!</v>
      </c>
      <c r="Y20" s="87" t="e">
        <f t="shared" ca="1" si="20"/>
        <v>#REF!</v>
      </c>
      <c r="Z20" s="87" t="e">
        <f t="shared" ca="1" si="20"/>
        <v>#REF!</v>
      </c>
      <c r="AA20" s="87" t="e">
        <f t="shared" ca="1" si="20"/>
        <v>#REF!</v>
      </c>
      <c r="AB20" s="87" t="e">
        <f t="shared" ca="1" si="20"/>
        <v>#REF!</v>
      </c>
      <c r="AC20" s="87" t="e">
        <f t="shared" ca="1" si="20"/>
        <v>#REF!</v>
      </c>
      <c r="AD20" s="87" t="e">
        <f t="shared" ca="1" si="20"/>
        <v>#REF!</v>
      </c>
      <c r="AE20" s="87" t="e">
        <f t="shared" ca="1" si="20"/>
        <v>#REF!</v>
      </c>
      <c r="AF20" s="87" t="e">
        <f t="shared" ca="1" si="20"/>
        <v>#REF!</v>
      </c>
    </row>
    <row r="21" spans="1:32" x14ac:dyDescent="0.25">
      <c r="A21" s="80" t="e">
        <f t="shared" si="4"/>
        <v>#REF!</v>
      </c>
      <c r="B21" s="81" t="e">
        <f>MIN(#REF!)-G3</f>
        <v>#REF!</v>
      </c>
      <c r="C21" s="81" t="e">
        <f ca="1">IF(MIN(#REF!)&gt;0.08333,OFFSET(#REF!,MATCH(MIN(#REF!),#REF!,0),-4),MAX(#REF!))</f>
        <v>#REF!</v>
      </c>
      <c r="D21" s="81" t="e">
        <f ca="1">IF(MIN(#REF!)&gt;0.08333,OFFSET(#REF!,MATCH(MIN(#REF!),#REF!,0),-2),MIN(#REF!))</f>
        <v>#REF!</v>
      </c>
      <c r="E21" s="81" t="e">
        <f>IF(MIN(#REF!)&gt;0.08333,MAX(#REF!),MAX(#REF!))+G3</f>
        <v>#REF!</v>
      </c>
      <c r="F21" s="81" t="e">
        <f t="shared" si="2"/>
        <v>#REF!</v>
      </c>
      <c r="G21" s="81"/>
      <c r="H21" s="82"/>
      <c r="I21" s="83" t="e">
        <f t="shared" ref="I21:AF21" ca="1" si="21">IF(AND(J$1-$B21&gt;=0.0208333,$C21-I$1&gt;0.0208333),"X",IF(AND(J$1-$D21&gt;=0.0208333,$E21-I$1&gt;0.0208333),"X",IF(MROUND($C21,"01:00")=I$1,IF(J$1-$D21+$C21-I$1&gt;=0.02083,"X",""),"")))</f>
        <v>#REF!</v>
      </c>
      <c r="J21" s="83" t="e">
        <f t="shared" ca="1" si="21"/>
        <v>#REF!</v>
      </c>
      <c r="K21" s="83" t="e">
        <f t="shared" ca="1" si="21"/>
        <v>#REF!</v>
      </c>
      <c r="L21" s="83" t="e">
        <f t="shared" ca="1" si="21"/>
        <v>#REF!</v>
      </c>
      <c r="M21" s="83" t="e">
        <f t="shared" ca="1" si="21"/>
        <v>#REF!</v>
      </c>
      <c r="N21" s="83" t="e">
        <f t="shared" ca="1" si="21"/>
        <v>#REF!</v>
      </c>
      <c r="O21" s="83" t="e">
        <f t="shared" ca="1" si="21"/>
        <v>#REF!</v>
      </c>
      <c r="P21" s="83" t="e">
        <f t="shared" ca="1" si="21"/>
        <v>#REF!</v>
      </c>
      <c r="Q21" s="83" t="e">
        <f t="shared" ca="1" si="21"/>
        <v>#REF!</v>
      </c>
      <c r="R21" s="83" t="e">
        <f t="shared" ca="1" si="21"/>
        <v>#REF!</v>
      </c>
      <c r="S21" s="83" t="e">
        <f t="shared" ca="1" si="21"/>
        <v>#REF!</v>
      </c>
      <c r="T21" s="83" t="e">
        <f t="shared" ca="1" si="21"/>
        <v>#REF!</v>
      </c>
      <c r="U21" s="83" t="e">
        <f t="shared" ca="1" si="21"/>
        <v>#REF!</v>
      </c>
      <c r="V21" s="83" t="e">
        <f t="shared" ca="1" si="21"/>
        <v>#REF!</v>
      </c>
      <c r="W21" s="83" t="e">
        <f t="shared" ca="1" si="21"/>
        <v>#REF!</v>
      </c>
      <c r="X21" s="83" t="e">
        <f t="shared" ca="1" si="21"/>
        <v>#REF!</v>
      </c>
      <c r="Y21" s="83" t="e">
        <f t="shared" ca="1" si="21"/>
        <v>#REF!</v>
      </c>
      <c r="Z21" s="83" t="e">
        <f t="shared" ca="1" si="21"/>
        <v>#REF!</v>
      </c>
      <c r="AA21" s="83" t="e">
        <f t="shared" ca="1" si="21"/>
        <v>#REF!</v>
      </c>
      <c r="AB21" s="83" t="e">
        <f t="shared" ca="1" si="21"/>
        <v>#REF!</v>
      </c>
      <c r="AC21" s="83" t="e">
        <f t="shared" ca="1" si="21"/>
        <v>#REF!</v>
      </c>
      <c r="AD21" s="83" t="e">
        <f t="shared" ca="1" si="21"/>
        <v>#REF!</v>
      </c>
      <c r="AE21" s="83" t="e">
        <f t="shared" ca="1" si="21"/>
        <v>#REF!</v>
      </c>
      <c r="AF21" s="83" t="e">
        <f t="shared" ca="1" si="21"/>
        <v>#REF!</v>
      </c>
    </row>
    <row r="22" spans="1:32" x14ac:dyDescent="0.25">
      <c r="A22" s="84" t="e">
        <f t="shared" si="4"/>
        <v>#REF!</v>
      </c>
      <c r="B22" s="85" t="e">
        <f>MIN(#REF!)-G3</f>
        <v>#REF!</v>
      </c>
      <c r="C22" s="85" t="e">
        <f ca="1">IF(MIN(#REF!)&gt;0.08333,OFFSET(#REF!,MATCH(MIN(#REF!),#REF!,0),-4),MAX(#REF!))</f>
        <v>#REF!</v>
      </c>
      <c r="D22" s="85" t="e">
        <f ca="1">IF(MIN(#REF!)&gt;0.08333,OFFSET(#REF!,MATCH(MIN(#REF!),#REF!,0),-2),MIN(#REF!))</f>
        <v>#REF!</v>
      </c>
      <c r="E22" s="85" t="e">
        <f>IF(MIN(#REF!)&gt;0.08333,MAX(#REF!),MAX(#REF!))+G3</f>
        <v>#REF!</v>
      </c>
      <c r="F22" s="85" t="e">
        <f t="shared" si="2"/>
        <v>#REF!</v>
      </c>
      <c r="G22" s="85"/>
      <c r="H22" s="86"/>
      <c r="I22" s="87" t="e">
        <f t="shared" ref="I22:AF22" ca="1" si="22">IF(AND(J$1-$B22&gt;=0.0208333,$C22-I$1&gt;0.0208333),"X",IF(AND(J$1-$D22&gt;=0.0208333,$E22-I$1&gt;0.0208333),"X",IF(MROUND($C22,"01:00")=I$1,IF(J$1-$D22+$C22-I$1&gt;=0.02083,"X",""),"")))</f>
        <v>#REF!</v>
      </c>
      <c r="J22" s="87" t="e">
        <f t="shared" ca="1" si="22"/>
        <v>#REF!</v>
      </c>
      <c r="K22" s="87" t="e">
        <f t="shared" ca="1" si="22"/>
        <v>#REF!</v>
      </c>
      <c r="L22" s="87" t="e">
        <f t="shared" ca="1" si="22"/>
        <v>#REF!</v>
      </c>
      <c r="M22" s="87" t="e">
        <f t="shared" ca="1" si="22"/>
        <v>#REF!</v>
      </c>
      <c r="N22" s="87" t="e">
        <f t="shared" ca="1" si="22"/>
        <v>#REF!</v>
      </c>
      <c r="O22" s="87" t="e">
        <f t="shared" ca="1" si="22"/>
        <v>#REF!</v>
      </c>
      <c r="P22" s="87" t="e">
        <f t="shared" ca="1" si="22"/>
        <v>#REF!</v>
      </c>
      <c r="Q22" s="87" t="e">
        <f t="shared" ca="1" si="22"/>
        <v>#REF!</v>
      </c>
      <c r="R22" s="87" t="e">
        <f t="shared" ca="1" si="22"/>
        <v>#REF!</v>
      </c>
      <c r="S22" s="87" t="e">
        <f t="shared" ca="1" si="22"/>
        <v>#REF!</v>
      </c>
      <c r="T22" s="87" t="e">
        <f t="shared" ca="1" si="22"/>
        <v>#REF!</v>
      </c>
      <c r="U22" s="87" t="e">
        <f t="shared" ca="1" si="22"/>
        <v>#REF!</v>
      </c>
      <c r="V22" s="87" t="e">
        <f t="shared" ca="1" si="22"/>
        <v>#REF!</v>
      </c>
      <c r="W22" s="87" t="e">
        <f t="shared" ca="1" si="22"/>
        <v>#REF!</v>
      </c>
      <c r="X22" s="87" t="e">
        <f t="shared" ca="1" si="22"/>
        <v>#REF!</v>
      </c>
      <c r="Y22" s="87" t="e">
        <f t="shared" ca="1" si="22"/>
        <v>#REF!</v>
      </c>
      <c r="Z22" s="87" t="e">
        <f t="shared" ca="1" si="22"/>
        <v>#REF!</v>
      </c>
      <c r="AA22" s="87" t="e">
        <f t="shared" ca="1" si="22"/>
        <v>#REF!</v>
      </c>
      <c r="AB22" s="87" t="e">
        <f t="shared" ca="1" si="22"/>
        <v>#REF!</v>
      </c>
      <c r="AC22" s="87" t="e">
        <f t="shared" ca="1" si="22"/>
        <v>#REF!</v>
      </c>
      <c r="AD22" s="87" t="e">
        <f t="shared" ca="1" si="22"/>
        <v>#REF!</v>
      </c>
      <c r="AE22" s="87" t="e">
        <f t="shared" ca="1" si="22"/>
        <v>#REF!</v>
      </c>
      <c r="AF22" s="87" t="e">
        <f t="shared" ca="1" si="22"/>
        <v>#REF!</v>
      </c>
    </row>
    <row r="23" spans="1:32" x14ac:dyDescent="0.25">
      <c r="A23" s="80" t="e">
        <f t="shared" si="4"/>
        <v>#REF!</v>
      </c>
      <c r="B23" s="81" t="e">
        <f>MIN(#REF!)-G3</f>
        <v>#REF!</v>
      </c>
      <c r="C23" s="81" t="e">
        <f ca="1">IF(MIN(#REF!)&gt;0.08333,OFFSET(#REF!,MATCH(MIN(#REF!),#REF!,0),-4),MAX(#REF!))</f>
        <v>#REF!</v>
      </c>
      <c r="D23" s="81" t="e">
        <f ca="1">IF(MIN(#REF!)&gt;0.08333,OFFSET(#REF!,MATCH(MIN(#REF!),#REF!,0),-2),MIN(#REF!))</f>
        <v>#REF!</v>
      </c>
      <c r="E23" s="81" t="e">
        <f>IF(MIN(#REF!)&gt;0.08333,MAX(#REF!),MAX(#REF!))+G3</f>
        <v>#REF!</v>
      </c>
      <c r="F23" s="81" t="e">
        <f t="shared" si="2"/>
        <v>#REF!</v>
      </c>
      <c r="G23" s="81"/>
      <c r="H23" s="82"/>
      <c r="I23" s="83" t="e">
        <f t="shared" ref="I23:AF23" ca="1" si="23">IF(AND(J$1-$B23&gt;=0.0208333,$C23-I$1&gt;0.0208333),"X",IF(AND(J$1-$D23&gt;=0.0208333,$E23-I$1&gt;0.0208333),"X",IF(MROUND($C23,"01:00")=I$1,IF(J$1-$D23+$C23-I$1&gt;=0.02083,"X",""),"")))</f>
        <v>#REF!</v>
      </c>
      <c r="J23" s="83" t="e">
        <f t="shared" ca="1" si="23"/>
        <v>#REF!</v>
      </c>
      <c r="K23" s="83" t="e">
        <f t="shared" ca="1" si="23"/>
        <v>#REF!</v>
      </c>
      <c r="L23" s="83" t="e">
        <f t="shared" ca="1" si="23"/>
        <v>#REF!</v>
      </c>
      <c r="M23" s="83" t="e">
        <f t="shared" ca="1" si="23"/>
        <v>#REF!</v>
      </c>
      <c r="N23" s="83" t="e">
        <f t="shared" ca="1" si="23"/>
        <v>#REF!</v>
      </c>
      <c r="O23" s="83" t="e">
        <f t="shared" ca="1" si="23"/>
        <v>#REF!</v>
      </c>
      <c r="P23" s="83" t="e">
        <f t="shared" ca="1" si="23"/>
        <v>#REF!</v>
      </c>
      <c r="Q23" s="83" t="e">
        <f t="shared" ca="1" si="23"/>
        <v>#REF!</v>
      </c>
      <c r="R23" s="83" t="e">
        <f t="shared" ca="1" si="23"/>
        <v>#REF!</v>
      </c>
      <c r="S23" s="83" t="e">
        <f t="shared" ca="1" si="23"/>
        <v>#REF!</v>
      </c>
      <c r="T23" s="83" t="e">
        <f t="shared" ca="1" si="23"/>
        <v>#REF!</v>
      </c>
      <c r="U23" s="83" t="e">
        <f t="shared" ca="1" si="23"/>
        <v>#REF!</v>
      </c>
      <c r="V23" s="83" t="e">
        <f t="shared" ca="1" si="23"/>
        <v>#REF!</v>
      </c>
      <c r="W23" s="83" t="e">
        <f t="shared" ca="1" si="23"/>
        <v>#REF!</v>
      </c>
      <c r="X23" s="83" t="e">
        <f t="shared" ca="1" si="23"/>
        <v>#REF!</v>
      </c>
      <c r="Y23" s="83" t="e">
        <f t="shared" ca="1" si="23"/>
        <v>#REF!</v>
      </c>
      <c r="Z23" s="83" t="e">
        <f t="shared" ca="1" si="23"/>
        <v>#REF!</v>
      </c>
      <c r="AA23" s="83" t="e">
        <f t="shared" ca="1" si="23"/>
        <v>#REF!</v>
      </c>
      <c r="AB23" s="83" t="e">
        <f t="shared" ca="1" si="23"/>
        <v>#REF!</v>
      </c>
      <c r="AC23" s="83" t="e">
        <f t="shared" ca="1" si="23"/>
        <v>#REF!</v>
      </c>
      <c r="AD23" s="83" t="e">
        <f t="shared" ca="1" si="23"/>
        <v>#REF!</v>
      </c>
      <c r="AE23" s="83" t="e">
        <f t="shared" ca="1" si="23"/>
        <v>#REF!</v>
      </c>
      <c r="AF23" s="83" t="e">
        <f t="shared" ca="1" si="23"/>
        <v>#REF!</v>
      </c>
    </row>
    <row r="24" spans="1:32" x14ac:dyDescent="0.25">
      <c r="A24" s="84" t="e">
        <f t="shared" si="4"/>
        <v>#REF!</v>
      </c>
      <c r="B24" s="85" t="e">
        <f>MIN(#REF!)-G3</f>
        <v>#REF!</v>
      </c>
      <c r="C24" s="85" t="e">
        <f ca="1">IF(MIN(#REF!)&gt;0.08333,OFFSET(#REF!,MATCH(MIN(#REF!),#REF!,0),-4),MAX(#REF!))</f>
        <v>#REF!</v>
      </c>
      <c r="D24" s="85" t="e">
        <f ca="1">IF(MIN(#REF!)&gt;0.08333,OFFSET(#REF!,MATCH(MIN(#REF!),#REF!,0),-2),MIN(#REF!))</f>
        <v>#REF!</v>
      </c>
      <c r="E24" s="85" t="e">
        <f>IF(MIN(#REF!)&gt;0.08333,MAX(#REF!),MAX(#REF!))+G3</f>
        <v>#REF!</v>
      </c>
      <c r="F24" s="85" t="e">
        <f t="shared" si="2"/>
        <v>#REF!</v>
      </c>
      <c r="G24" s="85"/>
      <c r="H24" s="86"/>
      <c r="I24" s="87" t="e">
        <f t="shared" ref="I24:AF24" ca="1" si="24">IF(AND(J$1-$B24&gt;=0.0208333,$C24-I$1&gt;0.0208333),"X",IF(AND(J$1-$D24&gt;=0.0208333,$E24-I$1&gt;0.0208333),"X",IF(MROUND($C24,"01:00")=I$1,IF(J$1-$D24+$C24-I$1&gt;=0.02083,"X",""),"")))</f>
        <v>#REF!</v>
      </c>
      <c r="J24" s="87" t="e">
        <f t="shared" ca="1" si="24"/>
        <v>#REF!</v>
      </c>
      <c r="K24" s="87" t="e">
        <f t="shared" ca="1" si="24"/>
        <v>#REF!</v>
      </c>
      <c r="L24" s="87" t="e">
        <f t="shared" ca="1" si="24"/>
        <v>#REF!</v>
      </c>
      <c r="M24" s="87" t="e">
        <f t="shared" ca="1" si="24"/>
        <v>#REF!</v>
      </c>
      <c r="N24" s="87" t="e">
        <f t="shared" ca="1" si="24"/>
        <v>#REF!</v>
      </c>
      <c r="O24" s="87" t="e">
        <f t="shared" ca="1" si="24"/>
        <v>#REF!</v>
      </c>
      <c r="P24" s="87" t="e">
        <f t="shared" ca="1" si="24"/>
        <v>#REF!</v>
      </c>
      <c r="Q24" s="87" t="e">
        <f t="shared" ca="1" si="24"/>
        <v>#REF!</v>
      </c>
      <c r="R24" s="87" t="e">
        <f t="shared" ca="1" si="24"/>
        <v>#REF!</v>
      </c>
      <c r="S24" s="87" t="e">
        <f t="shared" ca="1" si="24"/>
        <v>#REF!</v>
      </c>
      <c r="T24" s="87" t="e">
        <f t="shared" ca="1" si="24"/>
        <v>#REF!</v>
      </c>
      <c r="U24" s="87" t="e">
        <f t="shared" ca="1" si="24"/>
        <v>#REF!</v>
      </c>
      <c r="V24" s="87" t="e">
        <f t="shared" ca="1" si="24"/>
        <v>#REF!</v>
      </c>
      <c r="W24" s="87" t="e">
        <f t="shared" ca="1" si="24"/>
        <v>#REF!</v>
      </c>
      <c r="X24" s="87" t="e">
        <f t="shared" ca="1" si="24"/>
        <v>#REF!</v>
      </c>
      <c r="Y24" s="87" t="e">
        <f t="shared" ca="1" si="24"/>
        <v>#REF!</v>
      </c>
      <c r="Z24" s="87" t="e">
        <f t="shared" ca="1" si="24"/>
        <v>#REF!</v>
      </c>
      <c r="AA24" s="87" t="e">
        <f t="shared" ca="1" si="24"/>
        <v>#REF!</v>
      </c>
      <c r="AB24" s="87" t="e">
        <f t="shared" ca="1" si="24"/>
        <v>#REF!</v>
      </c>
      <c r="AC24" s="87" t="e">
        <f t="shared" ca="1" si="24"/>
        <v>#REF!</v>
      </c>
      <c r="AD24" s="87" t="e">
        <f t="shared" ca="1" si="24"/>
        <v>#REF!</v>
      </c>
      <c r="AE24" s="87" t="e">
        <f t="shared" ca="1" si="24"/>
        <v>#REF!</v>
      </c>
      <c r="AF24" s="87" t="e">
        <f t="shared" ca="1" si="24"/>
        <v>#REF!</v>
      </c>
    </row>
    <row r="25" spans="1:32" x14ac:dyDescent="0.25">
      <c r="A25" s="74"/>
      <c r="B25" s="74"/>
      <c r="C25" s="74"/>
      <c r="D25" s="74"/>
      <c r="E25" s="74"/>
      <c r="F25" s="73"/>
      <c r="G25" s="74"/>
      <c r="H25"/>
    </row>
    <row r="26" spans="1:32" x14ac:dyDescent="0.25">
      <c r="A26" s="74"/>
      <c r="B26" s="74"/>
      <c r="C26" s="74"/>
      <c r="D26" s="74"/>
      <c r="E26" s="74"/>
      <c r="F26" s="74"/>
      <c r="G26" s="74"/>
      <c r="H26"/>
    </row>
    <row r="27" spans="1:32" x14ac:dyDescent="0.25">
      <c r="A27" s="80" t="str">
        <f>IF(B27&gt;=0.000694444444444444,1,"")</f>
        <v/>
      </c>
      <c r="B27" s="81">
        <f>MIN(SÁB!D6:F6)-G27</f>
        <v>0</v>
      </c>
      <c r="C27" s="81">
        <f ca="1">IF(MIN(SÁB!H6:H12)&gt;0.08333,OFFSET(SÁB!H5,MATCH(MIN(SÁB!H6:H12),SÁB!H6:H12,0),-4),MAX(SÁB!E6:F13))</f>
        <v>0</v>
      </c>
      <c r="D27" s="81">
        <f ca="1">IF(MIN(SÁB!H6:H12)&gt;0.08333,OFFSET(SÁB!H5,MATCH(MIN(SÁB!H6:H12),SÁB!H6:H12,0),-2),MIN(SÁB!D19:F19))</f>
        <v>0</v>
      </c>
      <c r="E27" s="81">
        <f>IF(MIN(SÁB!H6:H12)&gt;0.08333,MAX(SÁB!E6:F13),MAX(SÁB!E19:F26))+G27</f>
        <v>0</v>
      </c>
      <c r="F27" s="81">
        <f>E27-B27</f>
        <v>0</v>
      </c>
      <c r="G27" s="81">
        <v>0</v>
      </c>
      <c r="H27" s="82"/>
      <c r="I27" s="83" t="str">
        <f ca="1">IF(AND(J$1-$B27&gt;=0.0208333,$C27-I$1&gt;0.0208333),"X",IF(AND(J$1-$D27&gt;=0.0208333,$E27-I$1&gt;0.0208333),"X",IF(MROUND($C27,"01:00")=I$1,IF(J$1-$D27+$C27-I$1&gt;=0.02083,"X",""),"")))</f>
        <v/>
      </c>
      <c r="J27" s="83" t="str">
        <f t="shared" ref="J27:J48" ca="1" si="25">IF(AND(K$1-$B27&gt;=0.0208333,$C27-J$1&gt;0.0208333),"X",IF(AND(K$1-$D27&gt;=0.0208333,$E27-J$1&gt;0.0208333),"X",IF(MROUND($C27,"01:00")=J$1,IF(K$1-$D27+$C27-J$1&gt;=0.02083,"X",""),"")))</f>
        <v/>
      </c>
      <c r="K27" s="83" t="str">
        <f t="shared" ref="K27:K48" ca="1" si="26">IF(AND(L$1-$B27&gt;=0.0208333,$C27-K$1&gt;0.0208333),"X",IF(AND(L$1-$D27&gt;=0.0208333,$E27-K$1&gt;0.0208333),"X",IF(MROUND($C27,"01:00")=K$1,IF(L$1-$D27+$C27-K$1&gt;=0.02083,"X",""),"")))</f>
        <v/>
      </c>
      <c r="L27" s="83" t="str">
        <f t="shared" ref="L27:L48" ca="1" si="27">IF(AND(M$1-$B27&gt;=0.0208333,$C27-L$1&gt;0.0208333),"X",IF(AND(M$1-$D27&gt;=0.0208333,$E27-L$1&gt;0.0208333),"X",IF(MROUND($C27,"01:00")=L$1,IF(M$1-$D27+$C27-L$1&gt;=0.02083,"X",""),"")))</f>
        <v/>
      </c>
      <c r="M27" s="83" t="str">
        <f t="shared" ref="M27:M48" ca="1" si="28">IF(AND(N$1-$B27&gt;=0.0208333,$C27-M$1&gt;0.0208333),"X",IF(AND(N$1-$D27&gt;=0.0208333,$E27-M$1&gt;0.0208333),"X",IF(MROUND($C27,"01:00")=M$1,IF(N$1-$D27+$C27-M$1&gt;=0.02083,"X",""),"")))</f>
        <v/>
      </c>
      <c r="N27" s="83" t="str">
        <f t="shared" ref="N27:N48" ca="1" si="29">IF(AND(O$1-$B27&gt;=0.0208333,$C27-N$1&gt;0.0208333),"X",IF(AND(O$1-$D27&gt;=0.0208333,$E27-N$1&gt;0.0208333),"X",IF(MROUND($C27,"01:00")=N$1,IF(O$1-$D27+$C27-N$1&gt;=0.02083,"X",""),"")))</f>
        <v/>
      </c>
      <c r="O27" s="83" t="str">
        <f t="shared" ref="O27:O48" ca="1" si="30">IF(AND(P$1-$B27&gt;=0.0208333,$C27-O$1&gt;0.0208333),"X",IF(AND(P$1-$D27&gt;=0.0208333,$E27-O$1&gt;0.0208333),"X",IF(MROUND($C27,"01:00")=O$1,IF(P$1-$D27+$C27-O$1&gt;=0.02083,"X",""),"")))</f>
        <v/>
      </c>
      <c r="P27" s="83" t="str">
        <f t="shared" ref="P27:P48" ca="1" si="31">IF(AND(Q$1-$B27&gt;=0.0208333,$C27-P$1&gt;0.0208333),"X",IF(AND(Q$1-$D27&gt;=0.0208333,$E27-P$1&gt;0.0208333),"X",IF(MROUND($C27,"01:00")=P$1,IF(Q$1-$D27+$C27-P$1&gt;=0.02083,"X",""),"")))</f>
        <v/>
      </c>
      <c r="Q27" s="83" t="str">
        <f t="shared" ref="Q27:Q48" ca="1" si="32">IF(AND(R$1-$B27&gt;=0.0208333,$C27-Q$1&gt;0.0208333),"X",IF(AND(R$1-$D27&gt;=0.0208333,$E27-Q$1&gt;0.0208333),"X",IF(MROUND($C27,"01:00")=Q$1,IF(R$1-$D27+$C27-Q$1&gt;=0.02083,"X",""),"")))</f>
        <v/>
      </c>
      <c r="R27" s="83" t="str">
        <f t="shared" ref="R27:R48" ca="1" si="33">IF(AND(S$1-$B27&gt;=0.0208333,$C27-R$1&gt;0.0208333),"X",IF(AND(S$1-$D27&gt;=0.0208333,$E27-R$1&gt;0.0208333),"X",IF(MROUND($C27,"01:00")=R$1,IF(S$1-$D27+$C27-R$1&gt;=0.02083,"X",""),"")))</f>
        <v/>
      </c>
      <c r="S27" s="83" t="str">
        <f t="shared" ref="S27:S48" ca="1" si="34">IF(AND(T$1-$B27&gt;=0.0208333,$C27-S$1&gt;0.0208333),"X",IF(AND(T$1-$D27&gt;=0.0208333,$E27-S$1&gt;0.0208333),"X",IF(MROUND($C27,"01:00")=S$1,IF(T$1-$D27+$C27-S$1&gt;=0.02083,"X",""),"")))</f>
        <v/>
      </c>
      <c r="T27" s="83" t="str">
        <f t="shared" ref="T27:T48" ca="1" si="35">IF(AND(U$1-$B27&gt;=0.0208333,$C27-T$1&gt;0.0208333),"X",IF(AND(U$1-$D27&gt;=0.0208333,$E27-T$1&gt;0.0208333),"X",IF(MROUND($C27,"01:00")=T$1,IF(U$1-$D27+$C27-T$1&gt;=0.02083,"X",""),"")))</f>
        <v/>
      </c>
      <c r="U27" s="83" t="str">
        <f t="shared" ref="U27:U48" ca="1" si="36">IF(AND(V$1-$B27&gt;=0.0208333,$C27-U$1&gt;0.0208333),"X",IF(AND(V$1-$D27&gt;=0.0208333,$E27-U$1&gt;0.0208333),"X",IF(MROUND($C27,"01:00")=U$1,IF(V$1-$D27+$C27-U$1&gt;=0.02083,"X",""),"")))</f>
        <v/>
      </c>
      <c r="V27" s="83" t="str">
        <f t="shared" ref="V27:V48" ca="1" si="37">IF(AND(W$1-$B27&gt;=0.0208333,$C27-V$1&gt;0.0208333),"X",IF(AND(W$1-$D27&gt;=0.0208333,$E27-V$1&gt;0.0208333),"X",IF(MROUND($C27,"01:00")=V$1,IF(W$1-$D27+$C27-V$1&gt;=0.02083,"X",""),"")))</f>
        <v/>
      </c>
      <c r="W27" s="83" t="str">
        <f t="shared" ref="W27:W48" ca="1" si="38">IF(AND(X$1-$B27&gt;=0.0208333,$C27-W$1&gt;0.0208333),"X",IF(AND(X$1-$D27&gt;=0.0208333,$E27-W$1&gt;0.0208333),"X",IF(MROUND($C27,"01:00")=W$1,IF(X$1-$D27+$C27-W$1&gt;=0.02083,"X",""),"")))</f>
        <v/>
      </c>
      <c r="X27" s="83" t="str">
        <f t="shared" ref="X27:X48" ca="1" si="39">IF(AND(Y$1-$B27&gt;=0.0208333,$C27-X$1&gt;0.0208333),"X",IF(AND(Y$1-$D27&gt;=0.0208333,$E27-X$1&gt;0.0208333),"X",IF(MROUND($C27,"01:00")=X$1,IF(Y$1-$D27+$C27-X$1&gt;=0.02083,"X",""),"")))</f>
        <v/>
      </c>
      <c r="Y27" s="83" t="str">
        <f t="shared" ref="Y27:Y48" ca="1" si="40">IF(AND(Z$1-$B27&gt;=0.0208333,$C27-Y$1&gt;0.0208333),"X",IF(AND(Z$1-$D27&gt;=0.0208333,$E27-Y$1&gt;0.0208333),"X",IF(MROUND($C27,"01:00")=Y$1,IF(Z$1-$D27+$C27-Y$1&gt;=0.02083,"X",""),"")))</f>
        <v/>
      </c>
      <c r="Z27" s="83" t="str">
        <f t="shared" ref="Z27:Z48" ca="1" si="41">IF(AND(AA$1-$B27&gt;=0.0208333,$C27-Z$1&gt;0.0208333),"X",IF(AND(AA$1-$D27&gt;=0.0208333,$E27-Z$1&gt;0.0208333),"X",IF(MROUND($C27,"01:00")=Z$1,IF(AA$1-$D27+$C27-Z$1&gt;=0.02083,"X",""),"")))</f>
        <v/>
      </c>
      <c r="AA27" s="83" t="str">
        <f t="shared" ref="AA27:AA48" ca="1" si="42">IF(AND(AB$1-$B27&gt;=0.0208333,$C27-AA$1&gt;0.0208333),"X",IF(AND(AB$1-$D27&gt;=0.0208333,$E27-AA$1&gt;0.0208333),"X",IF(MROUND($C27,"01:00")=AA$1,IF(AB$1-$D27+$C27-AA$1&gt;=0.02083,"X",""),"")))</f>
        <v/>
      </c>
      <c r="AB27" s="83" t="str">
        <f t="shared" ref="AB27:AB48" ca="1" si="43">IF(AND(AC$1-$B27&gt;=0.0208333,$C27-AB$1&gt;0.0208333),"X",IF(AND(AC$1-$D27&gt;=0.0208333,$E27-AB$1&gt;0.0208333),"X",IF(MROUND($C27,"01:00")=AB$1,IF(AC$1-$D27+$C27-AB$1&gt;=0.02083,"X",""),"")))</f>
        <v/>
      </c>
      <c r="AC27" s="83" t="str">
        <f t="shared" ref="AC27:AC48" ca="1" si="44">IF(AND(AD$1-$B27&gt;=0.0208333,$C27-AC$1&gt;0.0208333),"X",IF(AND(AD$1-$D27&gt;=0.0208333,$E27-AC$1&gt;0.0208333),"X",IF(MROUND($C27,"01:00")=AC$1,IF(AD$1-$D27+$C27-AC$1&gt;=0.02083,"X",""),"")))</f>
        <v/>
      </c>
      <c r="AD27" s="83" t="str">
        <f t="shared" ref="AD27:AD48" ca="1" si="45">IF(AND(AE$1-$B27&gt;=0.0208333,$C27-AD$1&gt;0.0208333),"X",IF(AND(AE$1-$D27&gt;=0.0208333,$E27-AD$1&gt;0.0208333),"X",IF(MROUND($C27,"01:00")=AD$1,IF(AE$1-$D27+$C27-AD$1&gt;=0.02083,"X",""),"")))</f>
        <v/>
      </c>
      <c r="AE27" s="83" t="str">
        <f t="shared" ref="AE27:AE48" ca="1" si="46">IF(AND(AF$1-$B27&gt;=0.0208333,$C27-AE$1&gt;0.0208333),"X",IF(AND(AF$1-$D27&gt;=0.0208333,$E27-AE$1&gt;0.0208333),"X",IF(MROUND($C27,"01:00")=AE$1,IF(AF$1-$D27+$C27-AE$1&gt;=0.02083,"X",""),"")))</f>
        <v/>
      </c>
      <c r="AF27" s="83" t="str">
        <f t="shared" ref="AF27:AF48" ca="1" si="47">IF(AND(AG$1-$B27&gt;=0.0208333,$C27-AF$1&gt;0.0208333),"X",IF(AND(AG$1-$D27&gt;=0.0208333,$E27-AF$1&gt;0.0208333),"X",IF(MROUND($C27,"01:00")=AF$1,IF(AG$1-$D27+$C27-AF$1&gt;=0.02083,"X",""),"")))</f>
        <v/>
      </c>
    </row>
    <row r="28" spans="1:32" x14ac:dyDescent="0.25">
      <c r="A28" s="84" t="str">
        <f>IF(B28&gt;0,1+A27,"")</f>
        <v/>
      </c>
      <c r="B28" s="85">
        <f>MIN(SÁB!J6:L6)-G27</f>
        <v>0</v>
      </c>
      <c r="C28" s="85">
        <f ca="1">IF(MIN(SÁB!N6:N12)&gt;0.08333,OFFSET(SÁB!N5,MATCH(MIN(SÁB!N6:N12),SÁB!N6:N12,0),-4),MAX(SÁB!K6:L13))</f>
        <v>0</v>
      </c>
      <c r="D28" s="85">
        <f ca="1">IF(MIN(SÁB!N6:N12)&gt;0.08333,OFFSET(SÁB!N5,MATCH(MIN(SÁB!N6:N12),SÁB!N6:N12,0),-2),MIN(SÁB!J19:L19))</f>
        <v>0</v>
      </c>
      <c r="E28" s="85">
        <f>IF(MIN(SÁB!N6:N12)&gt;0.08333,MAX(SÁB!K6:L13),MAX(SÁB!K19:L26))-G27</f>
        <v>0</v>
      </c>
      <c r="F28" s="85">
        <f t="shared" ref="F28:F48" si="48">E28-B28</f>
        <v>0</v>
      </c>
      <c r="G28" s="85"/>
      <c r="H28" s="86"/>
      <c r="I28" s="87" t="str">
        <f t="shared" ref="I28:I48" ca="1" si="49">IF(AND(J$1-$B28&gt;=0.0208333,$C28-I$1&gt;0.0208333),"X",IF(AND(J$1-$D28&gt;=0.0208333,$E28-I$1&gt;0.0208333),"X",IF(MROUND($C28,"01:00")=I$1,IF(J$1-$D28+$C28-I$1&gt;=0.02083,"X",""),"")))</f>
        <v/>
      </c>
      <c r="J28" s="87" t="str">
        <f t="shared" ca="1" si="25"/>
        <v/>
      </c>
      <c r="K28" s="87" t="str">
        <f t="shared" ca="1" si="26"/>
        <v/>
      </c>
      <c r="L28" s="87" t="str">
        <f t="shared" ca="1" si="27"/>
        <v/>
      </c>
      <c r="M28" s="87" t="str">
        <f t="shared" ca="1" si="28"/>
        <v/>
      </c>
      <c r="N28" s="87" t="str">
        <f t="shared" ca="1" si="29"/>
        <v/>
      </c>
      <c r="O28" s="87" t="str">
        <f t="shared" ca="1" si="30"/>
        <v/>
      </c>
      <c r="P28" s="87" t="str">
        <f t="shared" ca="1" si="31"/>
        <v/>
      </c>
      <c r="Q28" s="87" t="str">
        <f t="shared" ca="1" si="32"/>
        <v/>
      </c>
      <c r="R28" s="87" t="str">
        <f t="shared" ca="1" si="33"/>
        <v/>
      </c>
      <c r="S28" s="87" t="str">
        <f t="shared" ca="1" si="34"/>
        <v/>
      </c>
      <c r="T28" s="87" t="str">
        <f t="shared" ca="1" si="35"/>
        <v/>
      </c>
      <c r="U28" s="87" t="str">
        <f t="shared" ca="1" si="36"/>
        <v/>
      </c>
      <c r="V28" s="87" t="str">
        <f t="shared" ca="1" si="37"/>
        <v/>
      </c>
      <c r="W28" s="87" t="str">
        <f t="shared" ca="1" si="38"/>
        <v/>
      </c>
      <c r="X28" s="87" t="str">
        <f t="shared" ca="1" si="39"/>
        <v/>
      </c>
      <c r="Y28" s="87" t="str">
        <f t="shared" ca="1" si="40"/>
        <v/>
      </c>
      <c r="Z28" s="87" t="str">
        <f t="shared" ca="1" si="41"/>
        <v/>
      </c>
      <c r="AA28" s="87" t="str">
        <f t="shared" ca="1" si="42"/>
        <v/>
      </c>
      <c r="AB28" s="87" t="str">
        <f t="shared" ca="1" si="43"/>
        <v/>
      </c>
      <c r="AC28" s="87" t="str">
        <f t="shared" ca="1" si="44"/>
        <v/>
      </c>
      <c r="AD28" s="87" t="str">
        <f t="shared" ca="1" si="45"/>
        <v/>
      </c>
      <c r="AE28" s="87" t="str">
        <f t="shared" ca="1" si="46"/>
        <v/>
      </c>
      <c r="AF28" s="87" t="str">
        <f t="shared" ca="1" si="47"/>
        <v/>
      </c>
    </row>
    <row r="29" spans="1:32" x14ac:dyDescent="0.25">
      <c r="A29" s="80" t="str">
        <f t="shared" ref="A29:A48" si="50">IF(B29&gt;0,1+A28,"")</f>
        <v/>
      </c>
      <c r="B29" s="81">
        <f>MIN(SÁB!P6:R6)-G27</f>
        <v>0</v>
      </c>
      <c r="C29" s="81">
        <f ca="1">IF(MIN(SÁB!T6:T12)&gt;0.08333,OFFSET(SÁB!T5,MATCH(MIN(SÁB!T6:T12),SÁB!T6:T12,0),-4),MAX(SÁB!Q6:R13))</f>
        <v>0</v>
      </c>
      <c r="D29" s="81">
        <f ca="1">IF(MIN(SÁB!T6:T12)&gt;0.08333,OFFSET(SÁB!T5,MATCH(MIN(SÁB!T6:T12),SÁB!T6:T12,0),-2),MIN(SÁB!P19:R19))</f>
        <v>0</v>
      </c>
      <c r="E29" s="81">
        <f>IF(MIN(SÁB!T6:T12)&gt;0.08333,MAX(SÁB!Q6:R13),MAX(SÁB!Q19:R26))-G27</f>
        <v>0</v>
      </c>
      <c r="F29" s="81">
        <f t="shared" si="48"/>
        <v>0</v>
      </c>
      <c r="G29" s="81"/>
      <c r="H29" s="82"/>
      <c r="I29" s="83" t="str">
        <f t="shared" ca="1" si="49"/>
        <v/>
      </c>
      <c r="J29" s="83" t="str">
        <f t="shared" ca="1" si="25"/>
        <v/>
      </c>
      <c r="K29" s="83" t="str">
        <f t="shared" ca="1" si="26"/>
        <v/>
      </c>
      <c r="L29" s="83" t="str">
        <f t="shared" ca="1" si="27"/>
        <v/>
      </c>
      <c r="M29" s="83" t="str">
        <f t="shared" ca="1" si="28"/>
        <v/>
      </c>
      <c r="N29" s="83" t="str">
        <f t="shared" ca="1" si="29"/>
        <v/>
      </c>
      <c r="O29" s="83" t="str">
        <f t="shared" ca="1" si="30"/>
        <v/>
      </c>
      <c r="P29" s="83" t="str">
        <f t="shared" ca="1" si="31"/>
        <v/>
      </c>
      <c r="Q29" s="83" t="str">
        <f t="shared" ca="1" si="32"/>
        <v/>
      </c>
      <c r="R29" s="83" t="str">
        <f t="shared" ca="1" si="33"/>
        <v/>
      </c>
      <c r="S29" s="83" t="str">
        <f t="shared" ca="1" si="34"/>
        <v/>
      </c>
      <c r="T29" s="83" t="str">
        <f t="shared" ca="1" si="35"/>
        <v/>
      </c>
      <c r="U29" s="83" t="str">
        <f t="shared" ca="1" si="36"/>
        <v/>
      </c>
      <c r="V29" s="83" t="str">
        <f t="shared" ca="1" si="37"/>
        <v/>
      </c>
      <c r="W29" s="83" t="str">
        <f t="shared" ca="1" si="38"/>
        <v/>
      </c>
      <c r="X29" s="83" t="str">
        <f t="shared" ca="1" si="39"/>
        <v/>
      </c>
      <c r="Y29" s="83" t="str">
        <f t="shared" ca="1" si="40"/>
        <v/>
      </c>
      <c r="Z29" s="83" t="str">
        <f t="shared" ca="1" si="41"/>
        <v/>
      </c>
      <c r="AA29" s="83" t="str">
        <f t="shared" ca="1" si="42"/>
        <v/>
      </c>
      <c r="AB29" s="83" t="str">
        <f t="shared" ca="1" si="43"/>
        <v/>
      </c>
      <c r="AC29" s="83" t="str">
        <f t="shared" ca="1" si="44"/>
        <v/>
      </c>
      <c r="AD29" s="83" t="str">
        <f t="shared" ca="1" si="45"/>
        <v/>
      </c>
      <c r="AE29" s="83" t="str">
        <f t="shared" ca="1" si="46"/>
        <v/>
      </c>
      <c r="AF29" s="83" t="str">
        <f t="shared" ca="1" si="47"/>
        <v/>
      </c>
    </row>
    <row r="30" spans="1:32" x14ac:dyDescent="0.25">
      <c r="A30" s="84" t="str">
        <f t="shared" si="50"/>
        <v/>
      </c>
      <c r="B30" s="85">
        <f>MIN(SÁB!V6:X6)-G27</f>
        <v>0</v>
      </c>
      <c r="C30" s="85">
        <f ca="1">IF(MIN(SÁB!Z6:Z12)&gt;0.08333,OFFSET(SÁB!Z5,MATCH(MIN(SÁB!Z6:Z12),SÁB!Z6:Z12,0),-4),MAX(SÁB!W6:X13))</f>
        <v>0</v>
      </c>
      <c r="D30" s="85">
        <f ca="1">IF(MIN(SÁB!Z6:Z12)&gt;0.08333,OFFSET(SÁB!Z5,MATCH(MIN(SÁB!Z6:Z12),SÁB!Z6:Z12,0),-2),MIN(SÁB!V19:X19))</f>
        <v>0</v>
      </c>
      <c r="E30" s="85">
        <f>IF(MIN(SÁB!Z6:Z12)&gt;0.08333,MAX(SÁB!W6:X13),MAX(SÁB!W19:X26))-G27</f>
        <v>0</v>
      </c>
      <c r="F30" s="85">
        <f t="shared" si="48"/>
        <v>0</v>
      </c>
      <c r="G30" s="85"/>
      <c r="H30" s="86"/>
      <c r="I30" s="87" t="str">
        <f t="shared" ca="1" si="49"/>
        <v/>
      </c>
      <c r="J30" s="87" t="str">
        <f t="shared" ca="1" si="25"/>
        <v/>
      </c>
      <c r="K30" s="87" t="str">
        <f t="shared" ca="1" si="26"/>
        <v/>
      </c>
      <c r="L30" s="87" t="str">
        <f t="shared" ca="1" si="27"/>
        <v/>
      </c>
      <c r="M30" s="87" t="str">
        <f t="shared" ca="1" si="28"/>
        <v/>
      </c>
      <c r="N30" s="87" t="str">
        <f t="shared" ca="1" si="29"/>
        <v/>
      </c>
      <c r="O30" s="87" t="str">
        <f t="shared" ca="1" si="30"/>
        <v/>
      </c>
      <c r="P30" s="87" t="str">
        <f t="shared" ca="1" si="31"/>
        <v/>
      </c>
      <c r="Q30" s="87" t="str">
        <f t="shared" ca="1" si="32"/>
        <v/>
      </c>
      <c r="R30" s="87" t="str">
        <f t="shared" ca="1" si="33"/>
        <v/>
      </c>
      <c r="S30" s="87" t="str">
        <f t="shared" ca="1" si="34"/>
        <v/>
      </c>
      <c r="T30" s="87" t="str">
        <f t="shared" ca="1" si="35"/>
        <v/>
      </c>
      <c r="U30" s="87" t="str">
        <f t="shared" ca="1" si="36"/>
        <v/>
      </c>
      <c r="V30" s="87" t="str">
        <f t="shared" ca="1" si="37"/>
        <v/>
      </c>
      <c r="W30" s="87" t="str">
        <f t="shared" ca="1" si="38"/>
        <v/>
      </c>
      <c r="X30" s="87" t="str">
        <f t="shared" ca="1" si="39"/>
        <v/>
      </c>
      <c r="Y30" s="87" t="str">
        <f t="shared" ca="1" si="40"/>
        <v/>
      </c>
      <c r="Z30" s="87" t="str">
        <f t="shared" ca="1" si="41"/>
        <v/>
      </c>
      <c r="AA30" s="87" t="str">
        <f t="shared" ca="1" si="42"/>
        <v/>
      </c>
      <c r="AB30" s="87" t="str">
        <f t="shared" ca="1" si="43"/>
        <v/>
      </c>
      <c r="AC30" s="87" t="str">
        <f t="shared" ca="1" si="44"/>
        <v/>
      </c>
      <c r="AD30" s="87" t="str">
        <f t="shared" ca="1" si="45"/>
        <v/>
      </c>
      <c r="AE30" s="87" t="str">
        <f t="shared" ca="1" si="46"/>
        <v/>
      </c>
      <c r="AF30" s="87" t="str">
        <f t="shared" ca="1" si="47"/>
        <v/>
      </c>
    </row>
    <row r="31" spans="1:32" x14ac:dyDescent="0.25">
      <c r="A31" s="80" t="str">
        <f t="shared" si="50"/>
        <v/>
      </c>
      <c r="B31" s="81">
        <f>MIN(SÁB!AB6:AD6)-G27</f>
        <v>0</v>
      </c>
      <c r="C31" s="81">
        <f ca="1">IF(MIN(SÁB!AF6:AF12)&gt;0.08333,OFFSET(SÁB!AF5,MATCH(MIN(SÁB!AF6:AF12),SÁB!AF6:AF12,0),-4),MAX(SÁB!AC6:AD13))</f>
        <v>0</v>
      </c>
      <c r="D31" s="81">
        <f ca="1">IF(MIN(SÁB!AF6:AF12)&gt;0.08333,OFFSET(SÁB!AF5,MATCH(MIN(SÁB!AF6:AF12),SÁB!AF6:AF12,0),-2),MIN(SÁB!AB19:AD19))</f>
        <v>0</v>
      </c>
      <c r="E31" s="81">
        <f>IF(MIN(SÁB!AF6:AF12)&gt;0.08333,MAX(SÁB!AC6:AD13),MAX(SÁB!AC19:AD26))-G27</f>
        <v>0</v>
      </c>
      <c r="F31" s="81">
        <f t="shared" si="48"/>
        <v>0</v>
      </c>
      <c r="G31" s="81"/>
      <c r="H31" s="82"/>
      <c r="I31" s="83" t="str">
        <f t="shared" ca="1" si="49"/>
        <v/>
      </c>
      <c r="J31" s="83" t="str">
        <f t="shared" ca="1" si="25"/>
        <v/>
      </c>
      <c r="K31" s="83" t="str">
        <f t="shared" ca="1" si="26"/>
        <v/>
      </c>
      <c r="L31" s="83" t="str">
        <f t="shared" ca="1" si="27"/>
        <v/>
      </c>
      <c r="M31" s="83" t="str">
        <f t="shared" ca="1" si="28"/>
        <v/>
      </c>
      <c r="N31" s="83" t="str">
        <f t="shared" ca="1" si="29"/>
        <v/>
      </c>
      <c r="O31" s="83" t="str">
        <f t="shared" ca="1" si="30"/>
        <v/>
      </c>
      <c r="P31" s="83" t="str">
        <f t="shared" ca="1" si="31"/>
        <v/>
      </c>
      <c r="Q31" s="83" t="str">
        <f t="shared" ca="1" si="32"/>
        <v/>
      </c>
      <c r="R31" s="83" t="str">
        <f t="shared" ca="1" si="33"/>
        <v/>
      </c>
      <c r="S31" s="83" t="str">
        <f t="shared" ca="1" si="34"/>
        <v/>
      </c>
      <c r="T31" s="83" t="str">
        <f t="shared" ca="1" si="35"/>
        <v/>
      </c>
      <c r="U31" s="83" t="str">
        <f t="shared" ca="1" si="36"/>
        <v/>
      </c>
      <c r="V31" s="83" t="str">
        <f t="shared" ca="1" si="37"/>
        <v/>
      </c>
      <c r="W31" s="83" t="str">
        <f t="shared" ca="1" si="38"/>
        <v/>
      </c>
      <c r="X31" s="83" t="str">
        <f t="shared" ca="1" si="39"/>
        <v/>
      </c>
      <c r="Y31" s="83" t="str">
        <f t="shared" ca="1" si="40"/>
        <v/>
      </c>
      <c r="Z31" s="83" t="str">
        <f t="shared" ca="1" si="41"/>
        <v/>
      </c>
      <c r="AA31" s="83" t="str">
        <f t="shared" ca="1" si="42"/>
        <v/>
      </c>
      <c r="AB31" s="83" t="str">
        <f t="shared" ca="1" si="43"/>
        <v/>
      </c>
      <c r="AC31" s="83" t="str">
        <f t="shared" ca="1" si="44"/>
        <v/>
      </c>
      <c r="AD31" s="83" t="str">
        <f t="shared" ca="1" si="45"/>
        <v/>
      </c>
      <c r="AE31" s="83" t="str">
        <f t="shared" ca="1" si="46"/>
        <v/>
      </c>
      <c r="AF31" s="83" t="str">
        <f t="shared" ca="1" si="47"/>
        <v/>
      </c>
    </row>
    <row r="32" spans="1:32" x14ac:dyDescent="0.25">
      <c r="A32" s="84" t="str">
        <f t="shared" si="50"/>
        <v/>
      </c>
      <c r="B32" s="85">
        <f>MIN(SÁB!AH6:AJ6)-G27</f>
        <v>0</v>
      </c>
      <c r="C32" s="85">
        <f ca="1">IF(MIN(SÁB!AL6:AL12)&gt;0.08333,OFFSET(SÁB!AL5,MATCH(MIN(SÁB!AL6:AL12),SÁB!AL6:AL12,0),-4),MAX(SÁB!AI6:AJ13))</f>
        <v>0</v>
      </c>
      <c r="D32" s="85">
        <f ca="1">IF(MIN(SÁB!AL6:AL12)&gt;0.08333,OFFSET(SÁB!AL5,MATCH(MIN(SÁB!AL6:AL12),SÁB!AL6:AL12,0),-2),MIN(SÁB!AH19:AJ19))</f>
        <v>0</v>
      </c>
      <c r="E32" s="85">
        <f>IF(MIN(SÁB!AL6:AL12)&gt;0.08333,MAX(SÁB!AI6:AJ13),MAX(SÁB!AI19:AJ26))-G27</f>
        <v>0</v>
      </c>
      <c r="F32" s="85">
        <f t="shared" si="48"/>
        <v>0</v>
      </c>
      <c r="G32" s="85"/>
      <c r="H32" s="86"/>
      <c r="I32" s="87" t="str">
        <f t="shared" ca="1" si="49"/>
        <v/>
      </c>
      <c r="J32" s="87" t="str">
        <f t="shared" ca="1" si="25"/>
        <v/>
      </c>
      <c r="K32" s="87" t="str">
        <f t="shared" ca="1" si="26"/>
        <v/>
      </c>
      <c r="L32" s="87" t="str">
        <f t="shared" ca="1" si="27"/>
        <v/>
      </c>
      <c r="M32" s="87" t="str">
        <f t="shared" ca="1" si="28"/>
        <v/>
      </c>
      <c r="N32" s="87" t="str">
        <f t="shared" ca="1" si="29"/>
        <v/>
      </c>
      <c r="O32" s="87" t="str">
        <f t="shared" ca="1" si="30"/>
        <v/>
      </c>
      <c r="P32" s="87" t="str">
        <f t="shared" ca="1" si="31"/>
        <v/>
      </c>
      <c r="Q32" s="87" t="str">
        <f t="shared" ca="1" si="32"/>
        <v/>
      </c>
      <c r="R32" s="87" t="str">
        <f t="shared" ca="1" si="33"/>
        <v/>
      </c>
      <c r="S32" s="87" t="str">
        <f t="shared" ca="1" si="34"/>
        <v/>
      </c>
      <c r="T32" s="87" t="str">
        <f t="shared" ca="1" si="35"/>
        <v/>
      </c>
      <c r="U32" s="87" t="str">
        <f t="shared" ca="1" si="36"/>
        <v/>
      </c>
      <c r="V32" s="87" t="str">
        <f t="shared" ca="1" si="37"/>
        <v/>
      </c>
      <c r="W32" s="87" t="str">
        <f t="shared" ca="1" si="38"/>
        <v/>
      </c>
      <c r="X32" s="87" t="str">
        <f t="shared" ca="1" si="39"/>
        <v/>
      </c>
      <c r="Y32" s="87" t="str">
        <f t="shared" ca="1" si="40"/>
        <v/>
      </c>
      <c r="Z32" s="87" t="str">
        <f t="shared" ca="1" si="41"/>
        <v/>
      </c>
      <c r="AA32" s="87" t="str">
        <f t="shared" ca="1" si="42"/>
        <v/>
      </c>
      <c r="AB32" s="87" t="str">
        <f t="shared" ca="1" si="43"/>
        <v/>
      </c>
      <c r="AC32" s="87" t="str">
        <f t="shared" ca="1" si="44"/>
        <v/>
      </c>
      <c r="AD32" s="87" t="str">
        <f t="shared" ca="1" si="45"/>
        <v/>
      </c>
      <c r="AE32" s="87" t="str">
        <f t="shared" ca="1" si="46"/>
        <v/>
      </c>
      <c r="AF32" s="87" t="str">
        <f t="shared" ca="1" si="47"/>
        <v/>
      </c>
    </row>
    <row r="33" spans="1:32" x14ac:dyDescent="0.25">
      <c r="A33" s="80" t="str">
        <f t="shared" si="50"/>
        <v/>
      </c>
      <c r="B33" s="81">
        <f>MIN(SÁB!AN6:AP6)-G27</f>
        <v>0</v>
      </c>
      <c r="C33" s="81">
        <f ca="1">IF(MIN(SÁB!AR6:AR12)&gt;0.08333,OFFSET(SÁB!AR5,MATCH(MIN(SÁB!AR6:AR12),SÁB!AR6:AR12,0),-4),MAX(SÁB!AO6:AP13))</f>
        <v>0</v>
      </c>
      <c r="D33" s="81">
        <f ca="1">IF(MIN(SÁB!AR6:AR12)&gt;0.08333,OFFSET(SÁB!AR5,MATCH(MIN(SÁB!AR6:AR12),SÁB!AR6:AR12,0),-2),MIN(SÁB!AN19:AP19))</f>
        <v>0</v>
      </c>
      <c r="E33" s="81">
        <f>IF(MIN(SÁB!AR6:AR12)&gt;0.08333,MAX(SÁB!AO6:AP13),MAX(SÁB!AO19:AP26))-G27</f>
        <v>0</v>
      </c>
      <c r="F33" s="81">
        <f t="shared" si="48"/>
        <v>0</v>
      </c>
      <c r="G33" s="81"/>
      <c r="H33" s="82"/>
      <c r="I33" s="83" t="str">
        <f t="shared" ca="1" si="49"/>
        <v/>
      </c>
      <c r="J33" s="83" t="str">
        <f t="shared" ca="1" si="25"/>
        <v/>
      </c>
      <c r="K33" s="83" t="str">
        <f t="shared" ca="1" si="26"/>
        <v/>
      </c>
      <c r="L33" s="83" t="str">
        <f t="shared" ca="1" si="27"/>
        <v/>
      </c>
      <c r="M33" s="83" t="str">
        <f t="shared" ca="1" si="28"/>
        <v/>
      </c>
      <c r="N33" s="83" t="str">
        <f t="shared" ca="1" si="29"/>
        <v/>
      </c>
      <c r="O33" s="83" t="str">
        <f t="shared" ca="1" si="30"/>
        <v/>
      </c>
      <c r="P33" s="83" t="str">
        <f t="shared" ca="1" si="31"/>
        <v/>
      </c>
      <c r="Q33" s="83" t="str">
        <f t="shared" ca="1" si="32"/>
        <v/>
      </c>
      <c r="R33" s="83" t="str">
        <f t="shared" ca="1" si="33"/>
        <v/>
      </c>
      <c r="S33" s="83" t="str">
        <f t="shared" ca="1" si="34"/>
        <v/>
      </c>
      <c r="T33" s="83" t="str">
        <f t="shared" ca="1" si="35"/>
        <v/>
      </c>
      <c r="U33" s="83" t="str">
        <f t="shared" ca="1" si="36"/>
        <v/>
      </c>
      <c r="V33" s="83" t="str">
        <f t="shared" ca="1" si="37"/>
        <v/>
      </c>
      <c r="W33" s="83" t="str">
        <f t="shared" ca="1" si="38"/>
        <v/>
      </c>
      <c r="X33" s="83" t="str">
        <f t="shared" ca="1" si="39"/>
        <v/>
      </c>
      <c r="Y33" s="83" t="str">
        <f t="shared" ca="1" si="40"/>
        <v/>
      </c>
      <c r="Z33" s="83" t="str">
        <f t="shared" ca="1" si="41"/>
        <v/>
      </c>
      <c r="AA33" s="83" t="str">
        <f t="shared" ca="1" si="42"/>
        <v/>
      </c>
      <c r="AB33" s="83" t="str">
        <f t="shared" ca="1" si="43"/>
        <v/>
      </c>
      <c r="AC33" s="83" t="str">
        <f t="shared" ca="1" si="44"/>
        <v/>
      </c>
      <c r="AD33" s="83" t="str">
        <f t="shared" ca="1" si="45"/>
        <v/>
      </c>
      <c r="AE33" s="83" t="str">
        <f t="shared" ca="1" si="46"/>
        <v/>
      </c>
      <c r="AF33" s="83" t="str">
        <f t="shared" ca="1" si="47"/>
        <v/>
      </c>
    </row>
    <row r="34" spans="1:32" x14ac:dyDescent="0.25">
      <c r="A34" s="84" t="str">
        <f t="shared" si="50"/>
        <v/>
      </c>
      <c r="B34" s="85">
        <f>MIN(SÁB!AT6:AV6)-G27</f>
        <v>0</v>
      </c>
      <c r="C34" s="85">
        <f ca="1">IF(MIN(SÁB!AX6:AX12)&gt;0.08333,OFFSET(SÁB!AX5,MATCH(MIN(SÁB!AX6:AX12),SÁB!AX6:AX12,0),-4),MAX(SÁB!AU6:AV13))</f>
        <v>0</v>
      </c>
      <c r="D34" s="85">
        <f ca="1">IF(MIN(SÁB!AX6:AX12)&gt;0.08333,OFFSET(SÁB!AX5,MATCH(MIN(SÁB!AX6:AX12),SÁB!AX6:AX12,0),-2),MIN(SÁB!AT19:AV19))</f>
        <v>0</v>
      </c>
      <c r="E34" s="85">
        <f>IF(MIN(SÁB!AX6:AX12)&gt;0.08333,MAX(SÁB!AU6:AV13),MAX(SÁB!AU19:AV26))-G27</f>
        <v>0</v>
      </c>
      <c r="F34" s="85">
        <f t="shared" si="48"/>
        <v>0</v>
      </c>
      <c r="G34" s="85"/>
      <c r="H34" s="86"/>
      <c r="I34" s="87" t="str">
        <f t="shared" ca="1" si="49"/>
        <v/>
      </c>
      <c r="J34" s="87" t="str">
        <f t="shared" ca="1" si="25"/>
        <v/>
      </c>
      <c r="K34" s="87" t="str">
        <f t="shared" ca="1" si="26"/>
        <v/>
      </c>
      <c r="L34" s="87" t="str">
        <f t="shared" ca="1" si="27"/>
        <v/>
      </c>
      <c r="M34" s="87" t="str">
        <f t="shared" ca="1" si="28"/>
        <v/>
      </c>
      <c r="N34" s="87" t="str">
        <f t="shared" ca="1" si="29"/>
        <v/>
      </c>
      <c r="O34" s="87" t="str">
        <f t="shared" ca="1" si="30"/>
        <v/>
      </c>
      <c r="P34" s="87" t="str">
        <f t="shared" ca="1" si="31"/>
        <v/>
      </c>
      <c r="Q34" s="87" t="str">
        <f t="shared" ca="1" si="32"/>
        <v/>
      </c>
      <c r="R34" s="87" t="str">
        <f t="shared" ca="1" si="33"/>
        <v/>
      </c>
      <c r="S34" s="87" t="str">
        <f t="shared" ca="1" si="34"/>
        <v/>
      </c>
      <c r="T34" s="87" t="str">
        <f t="shared" ca="1" si="35"/>
        <v/>
      </c>
      <c r="U34" s="87" t="str">
        <f t="shared" ca="1" si="36"/>
        <v/>
      </c>
      <c r="V34" s="87" t="str">
        <f t="shared" ca="1" si="37"/>
        <v/>
      </c>
      <c r="W34" s="87" t="str">
        <f t="shared" ca="1" si="38"/>
        <v/>
      </c>
      <c r="X34" s="87" t="str">
        <f t="shared" ca="1" si="39"/>
        <v/>
      </c>
      <c r="Y34" s="87" t="str">
        <f t="shared" ca="1" si="40"/>
        <v/>
      </c>
      <c r="Z34" s="87" t="str">
        <f t="shared" ca="1" si="41"/>
        <v/>
      </c>
      <c r="AA34" s="87" t="str">
        <f t="shared" ca="1" si="42"/>
        <v/>
      </c>
      <c r="AB34" s="87" t="str">
        <f t="shared" ca="1" si="43"/>
        <v/>
      </c>
      <c r="AC34" s="87" t="str">
        <f t="shared" ca="1" si="44"/>
        <v/>
      </c>
      <c r="AD34" s="87" t="str">
        <f t="shared" ca="1" si="45"/>
        <v/>
      </c>
      <c r="AE34" s="87" t="str">
        <f t="shared" ca="1" si="46"/>
        <v/>
      </c>
      <c r="AF34" s="87" t="str">
        <f t="shared" ca="1" si="47"/>
        <v/>
      </c>
    </row>
    <row r="35" spans="1:32" x14ac:dyDescent="0.25">
      <c r="A35" s="80" t="str">
        <f t="shared" si="50"/>
        <v/>
      </c>
      <c r="B35" s="81">
        <f>MIN(SÁB!AZ6:BB6)-G27</f>
        <v>0</v>
      </c>
      <c r="C35" s="81">
        <f ca="1">IF(MIN(SÁB!BD6:BD12)&gt;0.08333,OFFSET(SÁB!BD5,MATCH(MIN(SÁB!BD6:BD12),SÁB!BD6:BD12,0),-4),MAX(SÁB!BA6:BB13))</f>
        <v>0</v>
      </c>
      <c r="D35" s="81">
        <f ca="1">IF(MIN(SÁB!BD6:BD12)&gt;0.08333,OFFSET(SÁB!BD5,MATCH(MIN(SÁB!BD6:BD12),SÁB!BD6:BD12,0),-2),MIN(SÁB!AZ19:BB19))</f>
        <v>0</v>
      </c>
      <c r="E35" s="81">
        <f>IF(MIN(SÁB!BD6:BD12)&gt;0.08333,MAX(SÁB!BA6:BB13),MAX(SÁB!BA19:BB26))-G27</f>
        <v>0</v>
      </c>
      <c r="F35" s="81">
        <f t="shared" si="48"/>
        <v>0</v>
      </c>
      <c r="G35" s="81"/>
      <c r="H35" s="82"/>
      <c r="I35" s="83" t="str">
        <f t="shared" ca="1" si="49"/>
        <v/>
      </c>
      <c r="J35" s="83" t="str">
        <f t="shared" ca="1" si="25"/>
        <v/>
      </c>
      <c r="K35" s="83" t="str">
        <f t="shared" ca="1" si="26"/>
        <v/>
      </c>
      <c r="L35" s="83" t="str">
        <f t="shared" ca="1" si="27"/>
        <v/>
      </c>
      <c r="M35" s="83" t="str">
        <f t="shared" ca="1" si="28"/>
        <v/>
      </c>
      <c r="N35" s="83" t="str">
        <f t="shared" ca="1" si="29"/>
        <v/>
      </c>
      <c r="O35" s="83" t="str">
        <f t="shared" ca="1" si="30"/>
        <v/>
      </c>
      <c r="P35" s="83" t="str">
        <f t="shared" ca="1" si="31"/>
        <v/>
      </c>
      <c r="Q35" s="83" t="str">
        <f t="shared" ca="1" si="32"/>
        <v/>
      </c>
      <c r="R35" s="83" t="str">
        <f t="shared" ca="1" si="33"/>
        <v/>
      </c>
      <c r="S35" s="83" t="str">
        <f t="shared" ca="1" si="34"/>
        <v/>
      </c>
      <c r="T35" s="83" t="str">
        <f t="shared" ca="1" si="35"/>
        <v/>
      </c>
      <c r="U35" s="83" t="str">
        <f t="shared" ca="1" si="36"/>
        <v/>
      </c>
      <c r="V35" s="83" t="str">
        <f t="shared" ca="1" si="37"/>
        <v/>
      </c>
      <c r="W35" s="83" t="str">
        <f t="shared" ca="1" si="38"/>
        <v/>
      </c>
      <c r="X35" s="83" t="str">
        <f t="shared" ca="1" si="39"/>
        <v/>
      </c>
      <c r="Y35" s="83" t="str">
        <f t="shared" ca="1" si="40"/>
        <v/>
      </c>
      <c r="Z35" s="83" t="str">
        <f t="shared" ca="1" si="41"/>
        <v/>
      </c>
      <c r="AA35" s="83" t="str">
        <f t="shared" ca="1" si="42"/>
        <v/>
      </c>
      <c r="AB35" s="83" t="str">
        <f t="shared" ca="1" si="43"/>
        <v/>
      </c>
      <c r="AC35" s="83" t="str">
        <f t="shared" ca="1" si="44"/>
        <v/>
      </c>
      <c r="AD35" s="83" t="str">
        <f t="shared" ca="1" si="45"/>
        <v/>
      </c>
      <c r="AE35" s="83" t="str">
        <f t="shared" ca="1" si="46"/>
        <v/>
      </c>
      <c r="AF35" s="83" t="str">
        <f t="shared" ca="1" si="47"/>
        <v/>
      </c>
    </row>
    <row r="36" spans="1:32" x14ac:dyDescent="0.25">
      <c r="A36" s="84" t="str">
        <f t="shared" si="50"/>
        <v/>
      </c>
      <c r="B36" s="85">
        <f>MIN(SÁB!BF6:BH6)-G27</f>
        <v>0</v>
      </c>
      <c r="C36" s="85">
        <f ca="1">IF(MIN(SÁB!BJ6:BJ12)&gt;0.08333,OFFSET(SÁB!BJ5,MATCH(MIN(SÁB!BJ6:BJ12),SÁB!BJ6:BJ12,0),-4),MAX(SÁB!BG6:BH13))</f>
        <v>0</v>
      </c>
      <c r="D36" s="85">
        <f ca="1">IF(MIN(SÁB!BJ6:BJ12)&gt;0.08333,OFFSET(SÁB!BJ5,MATCH(MIN(SÁB!BJ6:BJ12),SÁB!BJ6:BJ12,0),-2),MIN(SÁB!BF19:BH19))</f>
        <v>0</v>
      </c>
      <c r="E36" s="85">
        <f>IF(MIN(SÁB!BJ6:BJ12)&gt;0.08333,MAX(SÁB!BG6:BH13),MAX(SÁB!BG19:BH26))-G27</f>
        <v>0</v>
      </c>
      <c r="F36" s="85">
        <f t="shared" si="48"/>
        <v>0</v>
      </c>
      <c r="G36" s="85"/>
      <c r="H36" s="86"/>
      <c r="I36" s="87" t="str">
        <f t="shared" ca="1" si="49"/>
        <v/>
      </c>
      <c r="J36" s="87" t="str">
        <f t="shared" ca="1" si="25"/>
        <v/>
      </c>
      <c r="K36" s="87" t="str">
        <f t="shared" ca="1" si="26"/>
        <v/>
      </c>
      <c r="L36" s="87" t="str">
        <f t="shared" ca="1" si="27"/>
        <v/>
      </c>
      <c r="M36" s="87" t="str">
        <f t="shared" ca="1" si="28"/>
        <v/>
      </c>
      <c r="N36" s="87" t="str">
        <f t="shared" ca="1" si="29"/>
        <v/>
      </c>
      <c r="O36" s="87" t="str">
        <f t="shared" ca="1" si="30"/>
        <v/>
      </c>
      <c r="P36" s="87" t="str">
        <f t="shared" ca="1" si="31"/>
        <v/>
      </c>
      <c r="Q36" s="87" t="str">
        <f t="shared" ca="1" si="32"/>
        <v/>
      </c>
      <c r="R36" s="87" t="str">
        <f t="shared" ca="1" si="33"/>
        <v/>
      </c>
      <c r="S36" s="87" t="str">
        <f t="shared" ca="1" si="34"/>
        <v/>
      </c>
      <c r="T36" s="87" t="str">
        <f t="shared" ca="1" si="35"/>
        <v/>
      </c>
      <c r="U36" s="87" t="str">
        <f t="shared" ca="1" si="36"/>
        <v/>
      </c>
      <c r="V36" s="87" t="str">
        <f t="shared" ca="1" si="37"/>
        <v/>
      </c>
      <c r="W36" s="87" t="str">
        <f t="shared" ca="1" si="38"/>
        <v/>
      </c>
      <c r="X36" s="87" t="str">
        <f t="shared" ca="1" si="39"/>
        <v/>
      </c>
      <c r="Y36" s="87" t="str">
        <f t="shared" ca="1" si="40"/>
        <v/>
      </c>
      <c r="Z36" s="87" t="str">
        <f t="shared" ca="1" si="41"/>
        <v/>
      </c>
      <c r="AA36" s="87" t="str">
        <f t="shared" ca="1" si="42"/>
        <v/>
      </c>
      <c r="AB36" s="87" t="str">
        <f t="shared" ca="1" si="43"/>
        <v/>
      </c>
      <c r="AC36" s="87" t="str">
        <f t="shared" ca="1" si="44"/>
        <v/>
      </c>
      <c r="AD36" s="87" t="str">
        <f t="shared" ca="1" si="45"/>
        <v/>
      </c>
      <c r="AE36" s="87" t="str">
        <f t="shared" ca="1" si="46"/>
        <v/>
      </c>
      <c r="AF36" s="87" t="str">
        <f t="shared" ca="1" si="47"/>
        <v/>
      </c>
    </row>
    <row r="37" spans="1:32" x14ac:dyDescent="0.25">
      <c r="A37" s="80" t="str">
        <f t="shared" si="50"/>
        <v/>
      </c>
      <c r="B37" s="81">
        <f>MIN(SÁB!BL6:BN6)-G27</f>
        <v>0</v>
      </c>
      <c r="C37" s="81">
        <f ca="1">IF(MIN(SÁB!BP6:BP12)&gt;0.08333,OFFSET(SÁB!BP5,MATCH(MIN(SÁB!BP6:BP12),SÁB!BP6:BP12,0),-4),MAX(SÁB!BM6:BN13))</f>
        <v>0</v>
      </c>
      <c r="D37" s="81">
        <f ca="1">IF(MIN(SÁB!BP6:BP12)&gt;0.08333,OFFSET(SÁB!BP5,MATCH(MIN(SÁB!BP6:BP12),SÁB!BP6:BP12,0),-2),MIN(SÁB!BL19:BN19))</f>
        <v>0</v>
      </c>
      <c r="E37" s="81">
        <f>IF(MIN(SÁB!BP6:BP12)&gt;0.08333,MAX(SÁB!BM6:BN13),MAX(SÁB!BM19:BN26))-G27</f>
        <v>0</v>
      </c>
      <c r="F37" s="81">
        <f t="shared" si="48"/>
        <v>0</v>
      </c>
      <c r="G37" s="81"/>
      <c r="H37" s="82"/>
      <c r="I37" s="83" t="str">
        <f t="shared" ca="1" si="49"/>
        <v/>
      </c>
      <c r="J37" s="83" t="str">
        <f t="shared" ca="1" si="25"/>
        <v/>
      </c>
      <c r="K37" s="83" t="str">
        <f t="shared" ca="1" si="26"/>
        <v/>
      </c>
      <c r="L37" s="83" t="str">
        <f t="shared" ca="1" si="27"/>
        <v/>
      </c>
      <c r="M37" s="83" t="str">
        <f t="shared" ca="1" si="28"/>
        <v/>
      </c>
      <c r="N37" s="83" t="str">
        <f t="shared" ca="1" si="29"/>
        <v/>
      </c>
      <c r="O37" s="83" t="str">
        <f t="shared" ca="1" si="30"/>
        <v/>
      </c>
      <c r="P37" s="83" t="str">
        <f t="shared" ca="1" si="31"/>
        <v/>
      </c>
      <c r="Q37" s="83" t="str">
        <f t="shared" ca="1" si="32"/>
        <v/>
      </c>
      <c r="R37" s="83" t="str">
        <f t="shared" ca="1" si="33"/>
        <v/>
      </c>
      <c r="S37" s="83" t="str">
        <f t="shared" ca="1" si="34"/>
        <v/>
      </c>
      <c r="T37" s="83" t="str">
        <f t="shared" ca="1" si="35"/>
        <v/>
      </c>
      <c r="U37" s="83" t="str">
        <f t="shared" ca="1" si="36"/>
        <v/>
      </c>
      <c r="V37" s="83" t="str">
        <f t="shared" ca="1" si="37"/>
        <v/>
      </c>
      <c r="W37" s="83" t="str">
        <f t="shared" ca="1" si="38"/>
        <v/>
      </c>
      <c r="X37" s="83" t="str">
        <f t="shared" ca="1" si="39"/>
        <v/>
      </c>
      <c r="Y37" s="83" t="str">
        <f t="shared" ca="1" si="40"/>
        <v/>
      </c>
      <c r="Z37" s="83" t="str">
        <f t="shared" ca="1" si="41"/>
        <v/>
      </c>
      <c r="AA37" s="83" t="str">
        <f t="shared" ca="1" si="42"/>
        <v/>
      </c>
      <c r="AB37" s="83" t="str">
        <f t="shared" ca="1" si="43"/>
        <v/>
      </c>
      <c r="AC37" s="83" t="str">
        <f t="shared" ca="1" si="44"/>
        <v/>
      </c>
      <c r="AD37" s="83" t="str">
        <f t="shared" ca="1" si="45"/>
        <v/>
      </c>
      <c r="AE37" s="83" t="str">
        <f t="shared" ca="1" si="46"/>
        <v/>
      </c>
      <c r="AF37" s="83" t="str">
        <f t="shared" ca="1" si="47"/>
        <v/>
      </c>
    </row>
    <row r="38" spans="1:32" x14ac:dyDescent="0.25">
      <c r="A38" s="84" t="str">
        <f t="shared" si="50"/>
        <v/>
      </c>
      <c r="B38" s="85">
        <f>MIN(SÁB!BR6:BT6)-G27</f>
        <v>0</v>
      </c>
      <c r="C38" s="85">
        <f ca="1">IF(MIN(SÁB!BV6:BV12)&gt;0.08333,OFFSET(SÁB!BV5,MATCH(MIN(SÁB!BV6:BV12),SÁB!BV6:BV12,0),-4),MAX(SÁB!BS6:BT13))</f>
        <v>0</v>
      </c>
      <c r="D38" s="85">
        <f ca="1">IF(MIN(SÁB!BV6:BV12)&gt;0.08333,OFFSET(SÁB!BV5,MATCH(MIN(SÁB!BV6:BV12),SÁB!BV6:BV12,0),-2),MIN(SÁB!BR19:BT19))</f>
        <v>0</v>
      </c>
      <c r="E38" s="85">
        <f>IF(MIN(SÁB!BV6:BV12)&gt;0.08333,MAX(SÁB!BS6:BT13),MAX(SÁB!BS19:BT26))-G27</f>
        <v>0</v>
      </c>
      <c r="F38" s="85">
        <f t="shared" si="48"/>
        <v>0</v>
      </c>
      <c r="G38" s="85"/>
      <c r="H38" s="86"/>
      <c r="I38" s="87" t="str">
        <f t="shared" ca="1" si="49"/>
        <v/>
      </c>
      <c r="J38" s="87" t="str">
        <f t="shared" ca="1" si="25"/>
        <v/>
      </c>
      <c r="K38" s="87" t="str">
        <f t="shared" ca="1" si="26"/>
        <v/>
      </c>
      <c r="L38" s="87" t="str">
        <f t="shared" ca="1" si="27"/>
        <v/>
      </c>
      <c r="M38" s="87" t="str">
        <f t="shared" ca="1" si="28"/>
        <v/>
      </c>
      <c r="N38" s="87" t="str">
        <f t="shared" ca="1" si="29"/>
        <v/>
      </c>
      <c r="O38" s="87" t="str">
        <f t="shared" ca="1" si="30"/>
        <v/>
      </c>
      <c r="P38" s="87" t="str">
        <f t="shared" ca="1" si="31"/>
        <v/>
      </c>
      <c r="Q38" s="87" t="str">
        <f t="shared" ca="1" si="32"/>
        <v/>
      </c>
      <c r="R38" s="87" t="str">
        <f t="shared" ca="1" si="33"/>
        <v/>
      </c>
      <c r="S38" s="87" t="str">
        <f t="shared" ca="1" si="34"/>
        <v/>
      </c>
      <c r="T38" s="87" t="str">
        <f t="shared" ca="1" si="35"/>
        <v/>
      </c>
      <c r="U38" s="87" t="str">
        <f t="shared" ca="1" si="36"/>
        <v/>
      </c>
      <c r="V38" s="87" t="str">
        <f t="shared" ca="1" si="37"/>
        <v/>
      </c>
      <c r="W38" s="87" t="str">
        <f t="shared" ca="1" si="38"/>
        <v/>
      </c>
      <c r="X38" s="87" t="str">
        <f t="shared" ca="1" si="39"/>
        <v/>
      </c>
      <c r="Y38" s="87" t="str">
        <f t="shared" ca="1" si="40"/>
        <v/>
      </c>
      <c r="Z38" s="87" t="str">
        <f t="shared" ca="1" si="41"/>
        <v/>
      </c>
      <c r="AA38" s="87" t="str">
        <f t="shared" ca="1" si="42"/>
        <v/>
      </c>
      <c r="AB38" s="87" t="str">
        <f t="shared" ca="1" si="43"/>
        <v/>
      </c>
      <c r="AC38" s="87" t="str">
        <f t="shared" ca="1" si="44"/>
        <v/>
      </c>
      <c r="AD38" s="87" t="str">
        <f t="shared" ca="1" si="45"/>
        <v/>
      </c>
      <c r="AE38" s="87" t="str">
        <f t="shared" ca="1" si="46"/>
        <v/>
      </c>
      <c r="AF38" s="87" t="str">
        <f t="shared" ca="1" si="47"/>
        <v/>
      </c>
    </row>
    <row r="39" spans="1:32" x14ac:dyDescent="0.25">
      <c r="A39" s="80" t="str">
        <f t="shared" si="50"/>
        <v/>
      </c>
      <c r="B39" s="81">
        <f>MIN(SÁB!BX6:BZ6)-G27</f>
        <v>0</v>
      </c>
      <c r="C39" s="81">
        <f ca="1">IF(MIN(SÁB!CB6:CB12)&gt;0.08333,OFFSET(SÁB!CB5,MATCH(MIN(SÁB!CB6:CB12),SÁB!CB6:CB12,0),-4),MAX(SÁB!BY6:BZ13))</f>
        <v>0</v>
      </c>
      <c r="D39" s="81">
        <f ca="1">IF(MIN(SÁB!CB6:CB12)&gt;0.08333,OFFSET(SÁB!CB5,MATCH(MIN(SÁB!CB6:CB12),SÁB!CB6:CB12,0),-2),MIN(SÁB!BX19:BZ19))</f>
        <v>0</v>
      </c>
      <c r="E39" s="81">
        <f>IF(MIN(SÁB!CB6:CB12)&gt;0.08333,MAX(SÁB!BY6:BZ13),MAX(SÁB!BY19:BZ26))-G27</f>
        <v>0</v>
      </c>
      <c r="F39" s="81">
        <f t="shared" si="48"/>
        <v>0</v>
      </c>
      <c r="G39" s="81"/>
      <c r="H39" s="82"/>
      <c r="I39" s="83" t="str">
        <f t="shared" ca="1" si="49"/>
        <v/>
      </c>
      <c r="J39" s="83" t="str">
        <f t="shared" ca="1" si="25"/>
        <v/>
      </c>
      <c r="K39" s="83" t="str">
        <f t="shared" ca="1" si="26"/>
        <v/>
      </c>
      <c r="L39" s="83" t="str">
        <f t="shared" ca="1" si="27"/>
        <v/>
      </c>
      <c r="M39" s="83" t="str">
        <f t="shared" ca="1" si="28"/>
        <v/>
      </c>
      <c r="N39" s="83" t="str">
        <f t="shared" ca="1" si="29"/>
        <v/>
      </c>
      <c r="O39" s="83" t="str">
        <f t="shared" ca="1" si="30"/>
        <v/>
      </c>
      <c r="P39" s="83" t="str">
        <f t="shared" ca="1" si="31"/>
        <v/>
      </c>
      <c r="Q39" s="83" t="str">
        <f t="shared" ca="1" si="32"/>
        <v/>
      </c>
      <c r="R39" s="83" t="str">
        <f t="shared" ca="1" si="33"/>
        <v/>
      </c>
      <c r="S39" s="83" t="str">
        <f t="shared" ca="1" si="34"/>
        <v/>
      </c>
      <c r="T39" s="83" t="str">
        <f t="shared" ca="1" si="35"/>
        <v/>
      </c>
      <c r="U39" s="83" t="str">
        <f t="shared" ca="1" si="36"/>
        <v/>
      </c>
      <c r="V39" s="83" t="str">
        <f t="shared" ca="1" si="37"/>
        <v/>
      </c>
      <c r="W39" s="83" t="str">
        <f t="shared" ca="1" si="38"/>
        <v/>
      </c>
      <c r="X39" s="83" t="str">
        <f t="shared" ca="1" si="39"/>
        <v/>
      </c>
      <c r="Y39" s="83" t="str">
        <f t="shared" ca="1" si="40"/>
        <v/>
      </c>
      <c r="Z39" s="83" t="str">
        <f t="shared" ca="1" si="41"/>
        <v/>
      </c>
      <c r="AA39" s="83" t="str">
        <f t="shared" ca="1" si="42"/>
        <v/>
      </c>
      <c r="AB39" s="83" t="str">
        <f t="shared" ca="1" si="43"/>
        <v/>
      </c>
      <c r="AC39" s="83" t="str">
        <f t="shared" ca="1" si="44"/>
        <v/>
      </c>
      <c r="AD39" s="83" t="str">
        <f t="shared" ca="1" si="45"/>
        <v/>
      </c>
      <c r="AE39" s="83" t="str">
        <f t="shared" ca="1" si="46"/>
        <v/>
      </c>
      <c r="AF39" s="83" t="str">
        <f t="shared" ca="1" si="47"/>
        <v/>
      </c>
    </row>
    <row r="40" spans="1:32" x14ac:dyDescent="0.25">
      <c r="A40" s="84" t="str">
        <f t="shared" si="50"/>
        <v/>
      </c>
      <c r="B40" s="85">
        <f>MIN(SÁB!CD6:CF6)-G27</f>
        <v>0</v>
      </c>
      <c r="C40" s="85">
        <f ca="1">IF(MIN(SÁB!CH6:CH12)&gt;0.08333,OFFSET(SÁB!CH5,MATCH(MIN(SÁB!CH6:CH12),SÁB!CH6:CH12,0),-4),MAX(SÁB!CE6:CF13))</f>
        <v>0</v>
      </c>
      <c r="D40" s="85">
        <f ca="1">IF(MIN(SÁB!CH6:CH12)&gt;0.08333,OFFSET(SÁB!CH5,MATCH(MIN(SÁB!CH6:CH12),SÁB!CH6:CH12,0),-2),MIN(SÁB!CD19:CF19))</f>
        <v>0</v>
      </c>
      <c r="E40" s="85">
        <f>IF(MIN(SÁB!CH6:CH12)&gt;0.08333,MAX(SÁB!CE6:CF13),MAX(SÁB!CE19:CF26))-G27</f>
        <v>0</v>
      </c>
      <c r="F40" s="85">
        <f t="shared" si="48"/>
        <v>0</v>
      </c>
      <c r="G40" s="85"/>
      <c r="H40" s="86"/>
      <c r="I40" s="87" t="str">
        <f t="shared" ca="1" si="49"/>
        <v/>
      </c>
      <c r="J40" s="87" t="str">
        <f t="shared" ca="1" si="25"/>
        <v/>
      </c>
      <c r="K40" s="87" t="str">
        <f t="shared" ca="1" si="26"/>
        <v/>
      </c>
      <c r="L40" s="87" t="str">
        <f t="shared" ca="1" si="27"/>
        <v/>
      </c>
      <c r="M40" s="87" t="str">
        <f t="shared" ca="1" si="28"/>
        <v/>
      </c>
      <c r="N40" s="87" t="str">
        <f t="shared" ca="1" si="29"/>
        <v/>
      </c>
      <c r="O40" s="87" t="str">
        <f t="shared" ca="1" si="30"/>
        <v/>
      </c>
      <c r="P40" s="87" t="str">
        <f t="shared" ca="1" si="31"/>
        <v/>
      </c>
      <c r="Q40" s="87" t="str">
        <f t="shared" ca="1" si="32"/>
        <v/>
      </c>
      <c r="R40" s="87" t="str">
        <f t="shared" ca="1" si="33"/>
        <v/>
      </c>
      <c r="S40" s="87" t="str">
        <f t="shared" ca="1" si="34"/>
        <v/>
      </c>
      <c r="T40" s="87" t="str">
        <f t="shared" ca="1" si="35"/>
        <v/>
      </c>
      <c r="U40" s="87" t="str">
        <f t="shared" ca="1" si="36"/>
        <v/>
      </c>
      <c r="V40" s="87" t="str">
        <f t="shared" ca="1" si="37"/>
        <v/>
      </c>
      <c r="W40" s="87" t="str">
        <f t="shared" ca="1" si="38"/>
        <v/>
      </c>
      <c r="X40" s="87" t="str">
        <f t="shared" ca="1" si="39"/>
        <v/>
      </c>
      <c r="Y40" s="87" t="str">
        <f t="shared" ca="1" si="40"/>
        <v/>
      </c>
      <c r="Z40" s="87" t="str">
        <f t="shared" ca="1" si="41"/>
        <v/>
      </c>
      <c r="AA40" s="87" t="str">
        <f t="shared" ca="1" si="42"/>
        <v/>
      </c>
      <c r="AB40" s="87" t="str">
        <f t="shared" ca="1" si="43"/>
        <v/>
      </c>
      <c r="AC40" s="87" t="str">
        <f t="shared" ca="1" si="44"/>
        <v/>
      </c>
      <c r="AD40" s="87" t="str">
        <f t="shared" ca="1" si="45"/>
        <v/>
      </c>
      <c r="AE40" s="87" t="str">
        <f t="shared" ca="1" si="46"/>
        <v/>
      </c>
      <c r="AF40" s="87" t="str">
        <f t="shared" ca="1" si="47"/>
        <v/>
      </c>
    </row>
    <row r="41" spans="1:32" x14ac:dyDescent="0.25">
      <c r="A41" s="80" t="str">
        <f t="shared" si="50"/>
        <v/>
      </c>
      <c r="B41" s="81">
        <f>MIN(SÁB!CJ6:CL6)-G27</f>
        <v>0</v>
      </c>
      <c r="C41" s="81">
        <f ca="1">IF(MIN(SÁB!CN6:CN12)&gt;0.08333,OFFSET(SÁB!CN5,MATCH(MIN(SÁB!CN6:CN12),SÁB!CN6:CN12,0),-4),MAX(SÁB!CK6:CL13))</f>
        <v>0</v>
      </c>
      <c r="D41" s="81">
        <f ca="1">IF(MIN(SÁB!CN6:CN12)&gt;0.08333,OFFSET(SÁB!CN5,MATCH(MIN(SÁB!CN6:CN12),SÁB!CN6:CN12,0),-2),MIN(SÁB!CJ19:CL19))</f>
        <v>0</v>
      </c>
      <c r="E41" s="81">
        <f>IF(MIN(SÁB!CN6:CN12)&gt;0.08333,MAX(SÁB!CK6:CL13),MAX(SÁB!CK19:CL26))-G27</f>
        <v>0</v>
      </c>
      <c r="F41" s="81">
        <f t="shared" si="48"/>
        <v>0</v>
      </c>
      <c r="G41" s="81"/>
      <c r="H41" s="82"/>
      <c r="I41" s="83" t="str">
        <f t="shared" ca="1" si="49"/>
        <v/>
      </c>
      <c r="J41" s="83" t="str">
        <f t="shared" ca="1" si="25"/>
        <v/>
      </c>
      <c r="K41" s="83" t="str">
        <f t="shared" ca="1" si="26"/>
        <v/>
      </c>
      <c r="L41" s="83" t="str">
        <f t="shared" ca="1" si="27"/>
        <v/>
      </c>
      <c r="M41" s="83" t="str">
        <f t="shared" ca="1" si="28"/>
        <v/>
      </c>
      <c r="N41" s="83" t="str">
        <f t="shared" ca="1" si="29"/>
        <v/>
      </c>
      <c r="O41" s="83" t="str">
        <f t="shared" ca="1" si="30"/>
        <v/>
      </c>
      <c r="P41" s="83" t="str">
        <f t="shared" ca="1" si="31"/>
        <v/>
      </c>
      <c r="Q41" s="83" t="str">
        <f t="shared" ca="1" si="32"/>
        <v/>
      </c>
      <c r="R41" s="83" t="str">
        <f t="shared" ca="1" si="33"/>
        <v/>
      </c>
      <c r="S41" s="83" t="str">
        <f t="shared" ca="1" si="34"/>
        <v/>
      </c>
      <c r="T41" s="83" t="str">
        <f t="shared" ca="1" si="35"/>
        <v/>
      </c>
      <c r="U41" s="83" t="str">
        <f t="shared" ca="1" si="36"/>
        <v/>
      </c>
      <c r="V41" s="83" t="str">
        <f t="shared" ca="1" si="37"/>
        <v/>
      </c>
      <c r="W41" s="83" t="str">
        <f t="shared" ca="1" si="38"/>
        <v/>
      </c>
      <c r="X41" s="83" t="str">
        <f t="shared" ca="1" si="39"/>
        <v/>
      </c>
      <c r="Y41" s="83" t="str">
        <f t="shared" ca="1" si="40"/>
        <v/>
      </c>
      <c r="Z41" s="83" t="str">
        <f t="shared" ca="1" si="41"/>
        <v/>
      </c>
      <c r="AA41" s="83" t="str">
        <f t="shared" ca="1" si="42"/>
        <v/>
      </c>
      <c r="AB41" s="83" t="str">
        <f t="shared" ca="1" si="43"/>
        <v/>
      </c>
      <c r="AC41" s="83" t="str">
        <f t="shared" ca="1" si="44"/>
        <v/>
      </c>
      <c r="AD41" s="83" t="str">
        <f t="shared" ca="1" si="45"/>
        <v/>
      </c>
      <c r="AE41" s="83" t="str">
        <f t="shared" ca="1" si="46"/>
        <v/>
      </c>
      <c r="AF41" s="83" t="str">
        <f t="shared" ca="1" si="47"/>
        <v/>
      </c>
    </row>
    <row r="42" spans="1:32" x14ac:dyDescent="0.25">
      <c r="A42" s="84" t="str">
        <f t="shared" si="50"/>
        <v/>
      </c>
      <c r="B42" s="85">
        <f>MIN(SÁB!CP6:CR6)-G27</f>
        <v>0</v>
      </c>
      <c r="C42" s="85">
        <f ca="1">IF(MIN(SÁB!CT6:CT12)&gt;0.08333,OFFSET(SÁB!CT5,MATCH(MIN(SÁB!CT6:CT12),SÁB!CT6:CT12,0),-4),MAX(SÁB!CQ6:CR13))</f>
        <v>0</v>
      </c>
      <c r="D42" s="85">
        <f ca="1">IF(MIN(SÁB!CT6:CT12)&gt;0.08333,OFFSET(SÁB!CT5,MATCH(MIN(SÁB!CT6:CT12),SÁB!CT6:CT12,0),-2),MIN(SÁB!CP19:CR19))</f>
        <v>0</v>
      </c>
      <c r="E42" s="85">
        <f>IF(MIN(SÁB!CT6:CT12)&gt;0.08333,MAX(SÁB!CQ6:CR13),MAX(SÁB!CQ19:CR26))-G27</f>
        <v>0</v>
      </c>
      <c r="F42" s="85">
        <f t="shared" si="48"/>
        <v>0</v>
      </c>
      <c r="G42" s="85"/>
      <c r="H42" s="86"/>
      <c r="I42" s="87" t="str">
        <f t="shared" ca="1" si="49"/>
        <v/>
      </c>
      <c r="J42" s="87" t="str">
        <f t="shared" ca="1" si="25"/>
        <v/>
      </c>
      <c r="K42" s="87" t="str">
        <f t="shared" ca="1" si="26"/>
        <v/>
      </c>
      <c r="L42" s="87" t="str">
        <f t="shared" ca="1" si="27"/>
        <v/>
      </c>
      <c r="M42" s="87" t="str">
        <f t="shared" ca="1" si="28"/>
        <v/>
      </c>
      <c r="N42" s="87" t="str">
        <f t="shared" ca="1" si="29"/>
        <v/>
      </c>
      <c r="O42" s="87" t="str">
        <f t="shared" ca="1" si="30"/>
        <v/>
      </c>
      <c r="P42" s="87" t="str">
        <f t="shared" ca="1" si="31"/>
        <v/>
      </c>
      <c r="Q42" s="87" t="str">
        <f t="shared" ca="1" si="32"/>
        <v/>
      </c>
      <c r="R42" s="87" t="str">
        <f t="shared" ca="1" si="33"/>
        <v/>
      </c>
      <c r="S42" s="87" t="str">
        <f t="shared" ca="1" si="34"/>
        <v/>
      </c>
      <c r="T42" s="87" t="str">
        <f t="shared" ca="1" si="35"/>
        <v/>
      </c>
      <c r="U42" s="87" t="str">
        <f t="shared" ca="1" si="36"/>
        <v/>
      </c>
      <c r="V42" s="87" t="str">
        <f t="shared" ca="1" si="37"/>
        <v/>
      </c>
      <c r="W42" s="87" t="str">
        <f t="shared" ca="1" si="38"/>
        <v/>
      </c>
      <c r="X42" s="87" t="str">
        <f t="shared" ca="1" si="39"/>
        <v/>
      </c>
      <c r="Y42" s="87" t="str">
        <f t="shared" ca="1" si="40"/>
        <v/>
      </c>
      <c r="Z42" s="87" t="str">
        <f t="shared" ca="1" si="41"/>
        <v/>
      </c>
      <c r="AA42" s="87" t="str">
        <f t="shared" ca="1" si="42"/>
        <v/>
      </c>
      <c r="AB42" s="87" t="str">
        <f t="shared" ca="1" si="43"/>
        <v/>
      </c>
      <c r="AC42" s="87" t="str">
        <f t="shared" ca="1" si="44"/>
        <v/>
      </c>
      <c r="AD42" s="87" t="str">
        <f t="shared" ca="1" si="45"/>
        <v/>
      </c>
      <c r="AE42" s="87" t="str">
        <f t="shared" ca="1" si="46"/>
        <v/>
      </c>
      <c r="AF42" s="87" t="str">
        <f t="shared" ca="1" si="47"/>
        <v/>
      </c>
    </row>
    <row r="43" spans="1:32" x14ac:dyDescent="0.25">
      <c r="A43" s="80" t="str">
        <f t="shared" si="50"/>
        <v/>
      </c>
      <c r="B43" s="81">
        <f>MIN(SÁB!CV6:CX6)-G27</f>
        <v>0</v>
      </c>
      <c r="C43" s="81">
        <f ca="1">IF(MIN(SÁB!CZ6:CZ12)&gt;0.08333,OFFSET(SÁB!CZ5,MATCH(MIN(SÁB!CZ6:CZ12),SÁB!CZ6:CZ12,0),-4),MAX(SÁB!CW6:CX13))</f>
        <v>0</v>
      </c>
      <c r="D43" s="81">
        <f ca="1">IF(MIN(SÁB!CZ6:CZ12)&gt;0.08333,OFFSET(SÁB!CZ5,MATCH(MIN(SÁB!CZ6:CZ12),SÁB!CZ6:CZ12,0),-2),MIN(SÁB!CV19:CX19))</f>
        <v>0</v>
      </c>
      <c r="E43" s="81">
        <f>IF(MIN(SÁB!CZ6:CZ12)&gt;0.08333,MAX(SÁB!CW6:CX13),MAX(SÁB!CW19:CX26))-G27</f>
        <v>0</v>
      </c>
      <c r="F43" s="81">
        <f t="shared" si="48"/>
        <v>0</v>
      </c>
      <c r="G43" s="81"/>
      <c r="H43" s="82"/>
      <c r="I43" s="83" t="str">
        <f t="shared" ca="1" si="49"/>
        <v/>
      </c>
      <c r="J43" s="83" t="str">
        <f t="shared" ca="1" si="25"/>
        <v/>
      </c>
      <c r="K43" s="83" t="str">
        <f t="shared" ca="1" si="26"/>
        <v/>
      </c>
      <c r="L43" s="83" t="str">
        <f t="shared" ca="1" si="27"/>
        <v/>
      </c>
      <c r="M43" s="83" t="str">
        <f t="shared" ca="1" si="28"/>
        <v/>
      </c>
      <c r="N43" s="83" t="str">
        <f t="shared" ca="1" si="29"/>
        <v/>
      </c>
      <c r="O43" s="83" t="str">
        <f t="shared" ca="1" si="30"/>
        <v/>
      </c>
      <c r="P43" s="83" t="str">
        <f t="shared" ca="1" si="31"/>
        <v/>
      </c>
      <c r="Q43" s="83" t="str">
        <f t="shared" ca="1" si="32"/>
        <v/>
      </c>
      <c r="R43" s="83" t="str">
        <f t="shared" ca="1" si="33"/>
        <v/>
      </c>
      <c r="S43" s="83" t="str">
        <f t="shared" ca="1" si="34"/>
        <v/>
      </c>
      <c r="T43" s="83" t="str">
        <f t="shared" ca="1" si="35"/>
        <v/>
      </c>
      <c r="U43" s="83" t="str">
        <f t="shared" ca="1" si="36"/>
        <v/>
      </c>
      <c r="V43" s="83" t="str">
        <f t="shared" ca="1" si="37"/>
        <v/>
      </c>
      <c r="W43" s="83" t="str">
        <f t="shared" ca="1" si="38"/>
        <v/>
      </c>
      <c r="X43" s="83" t="str">
        <f t="shared" ca="1" si="39"/>
        <v/>
      </c>
      <c r="Y43" s="83" t="str">
        <f t="shared" ca="1" si="40"/>
        <v/>
      </c>
      <c r="Z43" s="83" t="str">
        <f t="shared" ca="1" si="41"/>
        <v/>
      </c>
      <c r="AA43" s="83" t="str">
        <f t="shared" ca="1" si="42"/>
        <v/>
      </c>
      <c r="AB43" s="83" t="str">
        <f t="shared" ca="1" si="43"/>
        <v/>
      </c>
      <c r="AC43" s="83" t="str">
        <f t="shared" ca="1" si="44"/>
        <v/>
      </c>
      <c r="AD43" s="83" t="str">
        <f t="shared" ca="1" si="45"/>
        <v/>
      </c>
      <c r="AE43" s="83" t="str">
        <f t="shared" ca="1" si="46"/>
        <v/>
      </c>
      <c r="AF43" s="83" t="str">
        <f t="shared" ca="1" si="47"/>
        <v/>
      </c>
    </row>
    <row r="44" spans="1:32" x14ac:dyDescent="0.25">
      <c r="A44" s="84" t="str">
        <f t="shared" si="50"/>
        <v/>
      </c>
      <c r="B44" s="85">
        <f>MIN(SÁB!DB6:DD6)-G27</f>
        <v>0</v>
      </c>
      <c r="C44" s="85">
        <f ca="1">IF(MIN(SÁB!DF6:DF12)&gt;0.08333,OFFSET(SÁB!DF5,MATCH(MIN(SÁB!DF6:DF12),SÁB!DF6:DF12,0),-4),MAX(SÁB!DC6:DD13))</f>
        <v>0</v>
      </c>
      <c r="D44" s="85">
        <f ca="1">IF(MIN(SÁB!DF6:DF12)&gt;0.08333,OFFSET(SÁB!DF5,MATCH(MIN(SÁB!DF6:DF12),SÁB!DF6:DF12,0),-2),MIN(SÁB!DB19:DD19))</f>
        <v>0</v>
      </c>
      <c r="E44" s="85">
        <f>IF(MIN(SÁB!DF6:DF12)&gt;0.08333,MAX(SÁB!DC6:DD13),MAX(SÁB!DC19:DD26))-G27</f>
        <v>0</v>
      </c>
      <c r="F44" s="85">
        <f t="shared" si="48"/>
        <v>0</v>
      </c>
      <c r="G44" s="85"/>
      <c r="H44" s="86"/>
      <c r="I44" s="87" t="str">
        <f t="shared" ca="1" si="49"/>
        <v/>
      </c>
      <c r="J44" s="87" t="str">
        <f t="shared" ca="1" si="25"/>
        <v/>
      </c>
      <c r="K44" s="87" t="str">
        <f t="shared" ca="1" si="26"/>
        <v/>
      </c>
      <c r="L44" s="87" t="str">
        <f t="shared" ca="1" si="27"/>
        <v/>
      </c>
      <c r="M44" s="87" t="str">
        <f t="shared" ca="1" si="28"/>
        <v/>
      </c>
      <c r="N44" s="87" t="str">
        <f t="shared" ca="1" si="29"/>
        <v/>
      </c>
      <c r="O44" s="87" t="str">
        <f t="shared" ca="1" si="30"/>
        <v/>
      </c>
      <c r="P44" s="87" t="str">
        <f t="shared" ca="1" si="31"/>
        <v/>
      </c>
      <c r="Q44" s="87" t="str">
        <f t="shared" ca="1" si="32"/>
        <v/>
      </c>
      <c r="R44" s="87" t="str">
        <f t="shared" ca="1" si="33"/>
        <v/>
      </c>
      <c r="S44" s="87" t="str">
        <f t="shared" ca="1" si="34"/>
        <v/>
      </c>
      <c r="T44" s="87" t="str">
        <f t="shared" ca="1" si="35"/>
        <v/>
      </c>
      <c r="U44" s="87" t="str">
        <f t="shared" ca="1" si="36"/>
        <v/>
      </c>
      <c r="V44" s="87" t="str">
        <f t="shared" ca="1" si="37"/>
        <v/>
      </c>
      <c r="W44" s="87" t="str">
        <f t="shared" ca="1" si="38"/>
        <v/>
      </c>
      <c r="X44" s="87" t="str">
        <f t="shared" ca="1" si="39"/>
        <v/>
      </c>
      <c r="Y44" s="87" t="str">
        <f t="shared" ca="1" si="40"/>
        <v/>
      </c>
      <c r="Z44" s="87" t="str">
        <f t="shared" ca="1" si="41"/>
        <v/>
      </c>
      <c r="AA44" s="87" t="str">
        <f t="shared" ca="1" si="42"/>
        <v/>
      </c>
      <c r="AB44" s="87" t="str">
        <f t="shared" ca="1" si="43"/>
        <v/>
      </c>
      <c r="AC44" s="87" t="str">
        <f t="shared" ca="1" si="44"/>
        <v/>
      </c>
      <c r="AD44" s="87" t="str">
        <f t="shared" ca="1" si="45"/>
        <v/>
      </c>
      <c r="AE44" s="87" t="str">
        <f t="shared" ca="1" si="46"/>
        <v/>
      </c>
      <c r="AF44" s="87" t="str">
        <f t="shared" ca="1" si="47"/>
        <v/>
      </c>
    </row>
    <row r="45" spans="1:32" x14ac:dyDescent="0.25">
      <c r="A45" s="80" t="str">
        <f t="shared" si="50"/>
        <v/>
      </c>
      <c r="B45" s="81">
        <f>MIN(SÁB!DH6:DJ6)-G27</f>
        <v>0</v>
      </c>
      <c r="C45" s="81">
        <f ca="1">IF(MIN(SÁB!DL6:DL12)&gt;0.08333,OFFSET(SÁB!DL5,MATCH(MIN(SÁB!DL6:DL12),SÁB!DL6:DL12,0),-4),MAX(SÁB!DI6:DJ13))</f>
        <v>0</v>
      </c>
      <c r="D45" s="81">
        <f ca="1">IF(MIN(SÁB!DL6:DL12)&gt;0.08333,OFFSET(SÁB!DL5,MATCH(MIN(SÁB!DL6:DL12),SÁB!DL6:DL12,0),-2),MIN(SÁB!DH19:DJ19))</f>
        <v>0</v>
      </c>
      <c r="E45" s="81">
        <f>IF(MIN(SÁB!DL6:DL12)&gt;0.08333,MAX(SÁB!DI6:DJ13),MAX(SÁB!DI19:DJ26))-G27</f>
        <v>0</v>
      </c>
      <c r="F45" s="81">
        <f t="shared" si="48"/>
        <v>0</v>
      </c>
      <c r="G45" s="81"/>
      <c r="H45" s="82"/>
      <c r="I45" s="83" t="str">
        <f t="shared" ca="1" si="49"/>
        <v/>
      </c>
      <c r="J45" s="83" t="str">
        <f t="shared" ca="1" si="25"/>
        <v/>
      </c>
      <c r="K45" s="83" t="str">
        <f t="shared" ca="1" si="26"/>
        <v/>
      </c>
      <c r="L45" s="83" t="str">
        <f t="shared" ca="1" si="27"/>
        <v/>
      </c>
      <c r="M45" s="83" t="str">
        <f t="shared" ca="1" si="28"/>
        <v/>
      </c>
      <c r="N45" s="83" t="str">
        <f t="shared" ca="1" si="29"/>
        <v/>
      </c>
      <c r="O45" s="83" t="str">
        <f t="shared" ca="1" si="30"/>
        <v/>
      </c>
      <c r="P45" s="83" t="str">
        <f t="shared" ca="1" si="31"/>
        <v/>
      </c>
      <c r="Q45" s="83" t="str">
        <f t="shared" ca="1" si="32"/>
        <v/>
      </c>
      <c r="R45" s="83" t="str">
        <f t="shared" ca="1" si="33"/>
        <v/>
      </c>
      <c r="S45" s="83" t="str">
        <f t="shared" ca="1" si="34"/>
        <v/>
      </c>
      <c r="T45" s="83" t="str">
        <f t="shared" ca="1" si="35"/>
        <v/>
      </c>
      <c r="U45" s="83" t="str">
        <f t="shared" ca="1" si="36"/>
        <v/>
      </c>
      <c r="V45" s="83" t="str">
        <f t="shared" ca="1" si="37"/>
        <v/>
      </c>
      <c r="W45" s="83" t="str">
        <f t="shared" ca="1" si="38"/>
        <v/>
      </c>
      <c r="X45" s="83" t="str">
        <f t="shared" ca="1" si="39"/>
        <v/>
      </c>
      <c r="Y45" s="83" t="str">
        <f t="shared" ca="1" si="40"/>
        <v/>
      </c>
      <c r="Z45" s="83" t="str">
        <f t="shared" ca="1" si="41"/>
        <v/>
      </c>
      <c r="AA45" s="83" t="str">
        <f t="shared" ca="1" si="42"/>
        <v/>
      </c>
      <c r="AB45" s="83" t="str">
        <f t="shared" ca="1" si="43"/>
        <v/>
      </c>
      <c r="AC45" s="83" t="str">
        <f t="shared" ca="1" si="44"/>
        <v/>
      </c>
      <c r="AD45" s="83" t="str">
        <f t="shared" ca="1" si="45"/>
        <v/>
      </c>
      <c r="AE45" s="83" t="str">
        <f t="shared" ca="1" si="46"/>
        <v/>
      </c>
      <c r="AF45" s="83" t="str">
        <f t="shared" ca="1" si="47"/>
        <v/>
      </c>
    </row>
    <row r="46" spans="1:32" x14ac:dyDescent="0.25">
      <c r="A46" s="84" t="str">
        <f t="shared" si="50"/>
        <v/>
      </c>
      <c r="B46" s="85">
        <f>MIN(SÁB!DN6:DP6)-G27</f>
        <v>0</v>
      </c>
      <c r="C46" s="85">
        <f ca="1">IF(MIN(SÁB!DR6:DR12)&gt;0.08333,OFFSET(SÁB!DR5,MATCH(MIN(SÁB!DR6:DR12),SÁB!DR6:DR12,0),-4),MAX(SÁB!DO6:DP13))</f>
        <v>0</v>
      </c>
      <c r="D46" s="85">
        <f ca="1">IF(MIN(SÁB!DR6:DR12)&gt;0.08333,OFFSET(SÁB!DR5,MATCH(MIN(SÁB!DR6:DR12),SÁB!DR6:DR12,0),-2),MIN(SÁB!DN19:DP19))</f>
        <v>0</v>
      </c>
      <c r="E46" s="85">
        <f>IF(MIN(SÁB!DR6:DR12)&gt;0.08333,MAX(SÁB!DO6:DP13),MAX(SÁB!DO19:DP26))-G27</f>
        <v>0</v>
      </c>
      <c r="F46" s="85">
        <f t="shared" si="48"/>
        <v>0</v>
      </c>
      <c r="G46" s="85"/>
      <c r="H46" s="86"/>
      <c r="I46" s="87" t="str">
        <f t="shared" ca="1" si="49"/>
        <v/>
      </c>
      <c r="J46" s="87" t="str">
        <f t="shared" ca="1" si="25"/>
        <v/>
      </c>
      <c r="K46" s="87" t="str">
        <f t="shared" ca="1" si="26"/>
        <v/>
      </c>
      <c r="L46" s="87" t="str">
        <f t="shared" ca="1" si="27"/>
        <v/>
      </c>
      <c r="M46" s="87" t="str">
        <f t="shared" ca="1" si="28"/>
        <v/>
      </c>
      <c r="N46" s="87" t="str">
        <f t="shared" ca="1" si="29"/>
        <v/>
      </c>
      <c r="O46" s="87" t="str">
        <f t="shared" ca="1" si="30"/>
        <v/>
      </c>
      <c r="P46" s="87" t="str">
        <f t="shared" ca="1" si="31"/>
        <v/>
      </c>
      <c r="Q46" s="87" t="str">
        <f t="shared" ca="1" si="32"/>
        <v/>
      </c>
      <c r="R46" s="87" t="str">
        <f t="shared" ca="1" si="33"/>
        <v/>
      </c>
      <c r="S46" s="87" t="str">
        <f t="shared" ca="1" si="34"/>
        <v/>
      </c>
      <c r="T46" s="87" t="str">
        <f t="shared" ca="1" si="35"/>
        <v/>
      </c>
      <c r="U46" s="87" t="str">
        <f t="shared" ca="1" si="36"/>
        <v/>
      </c>
      <c r="V46" s="87" t="str">
        <f t="shared" ca="1" si="37"/>
        <v/>
      </c>
      <c r="W46" s="87" t="str">
        <f t="shared" ca="1" si="38"/>
        <v/>
      </c>
      <c r="X46" s="87" t="str">
        <f t="shared" ca="1" si="39"/>
        <v/>
      </c>
      <c r="Y46" s="87" t="str">
        <f t="shared" ca="1" si="40"/>
        <v/>
      </c>
      <c r="Z46" s="87" t="str">
        <f t="shared" ca="1" si="41"/>
        <v/>
      </c>
      <c r="AA46" s="87" t="str">
        <f t="shared" ca="1" si="42"/>
        <v/>
      </c>
      <c r="AB46" s="87" t="str">
        <f t="shared" ca="1" si="43"/>
        <v/>
      </c>
      <c r="AC46" s="87" t="str">
        <f t="shared" ca="1" si="44"/>
        <v/>
      </c>
      <c r="AD46" s="87" t="str">
        <f t="shared" ca="1" si="45"/>
        <v/>
      </c>
      <c r="AE46" s="87" t="str">
        <f t="shared" ca="1" si="46"/>
        <v/>
      </c>
      <c r="AF46" s="87" t="str">
        <f t="shared" ca="1" si="47"/>
        <v/>
      </c>
    </row>
    <row r="47" spans="1:32" x14ac:dyDescent="0.25">
      <c r="A47" s="80" t="str">
        <f t="shared" si="50"/>
        <v/>
      </c>
      <c r="B47" s="81">
        <f>MIN(SÁB!DT6:DV6)-G27</f>
        <v>0</v>
      </c>
      <c r="C47" s="81">
        <f ca="1">IF(MIN(SÁB!DX6:DX12)&gt;0.08333,OFFSET(SÁB!DX5,MATCH(MIN(SÁB!DX6:DX12),SÁB!DX6:DX12,0),-4),MAX(SÁB!DU6:DV13))</f>
        <v>0</v>
      </c>
      <c r="D47" s="81">
        <f ca="1">IF(MIN(SÁB!DX6:DX12)&gt;0.08333,OFFSET(SÁB!DX5,MATCH(MIN(SÁB!DX6:DX12),SÁB!DX6:DX12,0),-2),MIN(SÁB!DT19:DV19))</f>
        <v>0</v>
      </c>
      <c r="E47" s="81">
        <f>IF(MIN(SÁB!DX6:DX12)&gt;0.08333,MAX(SÁB!DU6:DV13),MAX(SÁB!DU19:DV26))-G27</f>
        <v>0</v>
      </c>
      <c r="F47" s="81">
        <f t="shared" si="48"/>
        <v>0</v>
      </c>
      <c r="G47" s="81"/>
      <c r="H47" s="82"/>
      <c r="I47" s="83" t="str">
        <f t="shared" ca="1" si="49"/>
        <v/>
      </c>
      <c r="J47" s="83" t="str">
        <f t="shared" ca="1" si="25"/>
        <v/>
      </c>
      <c r="K47" s="83" t="str">
        <f t="shared" ca="1" si="26"/>
        <v/>
      </c>
      <c r="L47" s="83" t="str">
        <f t="shared" ca="1" si="27"/>
        <v/>
      </c>
      <c r="M47" s="83" t="str">
        <f t="shared" ca="1" si="28"/>
        <v/>
      </c>
      <c r="N47" s="83" t="str">
        <f t="shared" ca="1" si="29"/>
        <v/>
      </c>
      <c r="O47" s="83" t="str">
        <f t="shared" ca="1" si="30"/>
        <v/>
      </c>
      <c r="P47" s="83" t="str">
        <f t="shared" ca="1" si="31"/>
        <v/>
      </c>
      <c r="Q47" s="83" t="str">
        <f t="shared" ca="1" si="32"/>
        <v/>
      </c>
      <c r="R47" s="83" t="str">
        <f t="shared" ca="1" si="33"/>
        <v/>
      </c>
      <c r="S47" s="83" t="str">
        <f t="shared" ca="1" si="34"/>
        <v/>
      </c>
      <c r="T47" s="83" t="str">
        <f t="shared" ca="1" si="35"/>
        <v/>
      </c>
      <c r="U47" s="83" t="str">
        <f t="shared" ca="1" si="36"/>
        <v/>
      </c>
      <c r="V47" s="83" t="str">
        <f t="shared" ca="1" si="37"/>
        <v/>
      </c>
      <c r="W47" s="83" t="str">
        <f t="shared" ca="1" si="38"/>
        <v/>
      </c>
      <c r="X47" s="83" t="str">
        <f t="shared" ca="1" si="39"/>
        <v/>
      </c>
      <c r="Y47" s="83" t="str">
        <f t="shared" ca="1" si="40"/>
        <v/>
      </c>
      <c r="Z47" s="83" t="str">
        <f t="shared" ca="1" si="41"/>
        <v/>
      </c>
      <c r="AA47" s="83" t="str">
        <f t="shared" ca="1" si="42"/>
        <v/>
      </c>
      <c r="AB47" s="83" t="str">
        <f t="shared" ca="1" si="43"/>
        <v/>
      </c>
      <c r="AC47" s="83" t="str">
        <f t="shared" ca="1" si="44"/>
        <v/>
      </c>
      <c r="AD47" s="83" t="str">
        <f t="shared" ca="1" si="45"/>
        <v/>
      </c>
      <c r="AE47" s="83" t="str">
        <f t="shared" ca="1" si="46"/>
        <v/>
      </c>
      <c r="AF47" s="83" t="str">
        <f t="shared" ca="1" si="47"/>
        <v/>
      </c>
    </row>
    <row r="48" spans="1:32" x14ac:dyDescent="0.25">
      <c r="A48" s="84" t="str">
        <f t="shared" si="50"/>
        <v/>
      </c>
      <c r="B48" s="85">
        <f>MIN(SÁB!DZ6:EB6)-G27</f>
        <v>0</v>
      </c>
      <c r="C48" s="85">
        <f ca="1">IF(MIN(SÁB!ED6:ED12)&gt;0.08333,OFFSET(SÁB!ED5,MATCH(MIN(SÁB!ED6:ED12),SÁB!ED6:ED12,0),-4),MAX(SÁB!EA6:EB13))</f>
        <v>0</v>
      </c>
      <c r="D48" s="85">
        <f ca="1">IF(MIN(SÁB!ED6:ED12)&gt;0.08333,OFFSET(SÁB!ED5,MATCH(MIN(SÁB!ED6:ED12),SÁB!ED6:ED12,0),-2),MIN(SÁB!DZ19:EB19))</f>
        <v>0</v>
      </c>
      <c r="E48" s="85">
        <f>IF(MIN(SÁB!ED6:ED12)&gt;0.08333,MAX(SÁB!EA6:EB13),MAX(SÁB!EA19:EB26))-G27</f>
        <v>0</v>
      </c>
      <c r="F48" s="85">
        <f t="shared" si="48"/>
        <v>0</v>
      </c>
      <c r="G48" s="85"/>
      <c r="H48" s="86"/>
      <c r="I48" s="87" t="str">
        <f t="shared" ca="1" si="49"/>
        <v/>
      </c>
      <c r="J48" s="87" t="str">
        <f t="shared" ca="1" si="25"/>
        <v/>
      </c>
      <c r="K48" s="87" t="str">
        <f t="shared" ca="1" si="26"/>
        <v/>
      </c>
      <c r="L48" s="87" t="str">
        <f t="shared" ca="1" si="27"/>
        <v/>
      </c>
      <c r="M48" s="87" t="str">
        <f t="shared" ca="1" si="28"/>
        <v/>
      </c>
      <c r="N48" s="87" t="str">
        <f t="shared" ca="1" si="29"/>
        <v/>
      </c>
      <c r="O48" s="87" t="str">
        <f t="shared" ca="1" si="30"/>
        <v/>
      </c>
      <c r="P48" s="87" t="str">
        <f t="shared" ca="1" si="31"/>
        <v/>
      </c>
      <c r="Q48" s="87" t="str">
        <f t="shared" ca="1" si="32"/>
        <v/>
      </c>
      <c r="R48" s="87" t="str">
        <f t="shared" ca="1" si="33"/>
        <v/>
      </c>
      <c r="S48" s="87" t="str">
        <f t="shared" ca="1" si="34"/>
        <v/>
      </c>
      <c r="T48" s="87" t="str">
        <f t="shared" ca="1" si="35"/>
        <v/>
      </c>
      <c r="U48" s="87" t="str">
        <f t="shared" ca="1" si="36"/>
        <v/>
      </c>
      <c r="V48" s="87" t="str">
        <f t="shared" ca="1" si="37"/>
        <v/>
      </c>
      <c r="W48" s="87" t="str">
        <f t="shared" ca="1" si="38"/>
        <v/>
      </c>
      <c r="X48" s="87" t="str">
        <f t="shared" ca="1" si="39"/>
        <v/>
      </c>
      <c r="Y48" s="87" t="str">
        <f t="shared" ca="1" si="40"/>
        <v/>
      </c>
      <c r="Z48" s="87" t="str">
        <f t="shared" ca="1" si="41"/>
        <v/>
      </c>
      <c r="AA48" s="87" t="str">
        <f t="shared" ca="1" si="42"/>
        <v/>
      </c>
      <c r="AB48" s="87" t="str">
        <f t="shared" ca="1" si="43"/>
        <v/>
      </c>
      <c r="AC48" s="87" t="str">
        <f t="shared" ca="1" si="44"/>
        <v/>
      </c>
      <c r="AD48" s="87" t="str">
        <f t="shared" ca="1" si="45"/>
        <v/>
      </c>
      <c r="AE48" s="87" t="str">
        <f t="shared" ca="1" si="46"/>
        <v/>
      </c>
      <c r="AF48" s="87" t="str">
        <f t="shared" ca="1" si="47"/>
        <v/>
      </c>
    </row>
    <row r="49" spans="1:32" x14ac:dyDescent="0.25">
      <c r="A49" s="73"/>
      <c r="B49" s="73"/>
      <c r="C49" s="73"/>
      <c r="D49" s="73"/>
      <c r="E49" s="73"/>
      <c r="F49" s="73"/>
      <c r="G49" s="73"/>
      <c r="H49" s="68"/>
    </row>
    <row r="50" spans="1:32" x14ac:dyDescent="0.25">
      <c r="A50" s="73"/>
      <c r="B50" s="73"/>
      <c r="C50" s="73"/>
      <c r="D50" s="73"/>
      <c r="E50" s="73"/>
      <c r="F50" s="73"/>
      <c r="G50" s="73"/>
      <c r="H50" s="68"/>
    </row>
    <row r="51" spans="1:32" x14ac:dyDescent="0.25">
      <c r="A51" s="80" t="str">
        <f>IF(B51&gt;=0.000694444444444444,1,"")</f>
        <v/>
      </c>
      <c r="B51" s="81">
        <f>MIN(DOM!D6:F6)-G51</f>
        <v>0</v>
      </c>
      <c r="C51" s="81">
        <f ca="1">IF(MIN(DOM!H6:H12)&gt;0.08333,OFFSET(DOM!H5,MATCH(MIN(DOM!H6:H12),DOM!H6:H12,0),-4),MAX(DOM!E6:F13))</f>
        <v>0</v>
      </c>
      <c r="D51" s="81">
        <f ca="1">IF(MIN(DOM!H6:H12)&gt;0.08333,OFFSET(DOM!H5,MATCH(MIN(DOM!H6:H12),DOM!H6:H12,0),-2),MIN(DOM!D19:F19))</f>
        <v>0</v>
      </c>
      <c r="E51" s="81">
        <f>IF(MIN(DOM!H6:H12)&gt;0.08333,MAX(DOM!E6:F13),MAX(DOM!E19:F26))+G51</f>
        <v>0</v>
      </c>
      <c r="F51" s="81">
        <f>E51-B51</f>
        <v>0</v>
      </c>
      <c r="G51" s="81">
        <v>0</v>
      </c>
      <c r="H51" s="82"/>
      <c r="I51" s="83" t="str">
        <f t="shared" ref="I51:AF51" ca="1" si="51">IF(AND(J$1-$B51&gt;=0.0208333,$C51-I$1&gt;0.0208333),"X",IF(AND(J$1-$D51&gt;=0.0208333,$E51-I$1&gt;0.0208333),"X",IF(MROUND($C51,"01:00")=I$1,IF(J$1-$D51+$C51-I$1&gt;=0.02083,"X",""),"")))</f>
        <v/>
      </c>
      <c r="J51" s="83" t="str">
        <f t="shared" ca="1" si="51"/>
        <v/>
      </c>
      <c r="K51" s="83" t="str">
        <f t="shared" ca="1" si="51"/>
        <v/>
      </c>
      <c r="L51" s="83" t="str">
        <f t="shared" ca="1" si="51"/>
        <v/>
      </c>
      <c r="M51" s="83" t="str">
        <f t="shared" ca="1" si="51"/>
        <v/>
      </c>
      <c r="N51" s="83" t="str">
        <f t="shared" ca="1" si="51"/>
        <v/>
      </c>
      <c r="O51" s="83" t="str">
        <f t="shared" ca="1" si="51"/>
        <v/>
      </c>
      <c r="P51" s="83" t="str">
        <f t="shared" ca="1" si="51"/>
        <v/>
      </c>
      <c r="Q51" s="83" t="str">
        <f t="shared" ca="1" si="51"/>
        <v/>
      </c>
      <c r="R51" s="83" t="str">
        <f t="shared" ca="1" si="51"/>
        <v/>
      </c>
      <c r="S51" s="83" t="str">
        <f t="shared" ca="1" si="51"/>
        <v/>
      </c>
      <c r="T51" s="83" t="str">
        <f t="shared" ca="1" si="51"/>
        <v/>
      </c>
      <c r="U51" s="83" t="str">
        <f t="shared" ca="1" si="51"/>
        <v/>
      </c>
      <c r="V51" s="83" t="str">
        <f t="shared" ca="1" si="51"/>
        <v/>
      </c>
      <c r="W51" s="83" t="str">
        <f t="shared" ca="1" si="51"/>
        <v/>
      </c>
      <c r="X51" s="83" t="str">
        <f t="shared" ca="1" si="51"/>
        <v/>
      </c>
      <c r="Y51" s="83" t="str">
        <f t="shared" ca="1" si="51"/>
        <v/>
      </c>
      <c r="Z51" s="83" t="str">
        <f t="shared" ca="1" si="51"/>
        <v/>
      </c>
      <c r="AA51" s="83" t="str">
        <f t="shared" ca="1" si="51"/>
        <v/>
      </c>
      <c r="AB51" s="83" t="str">
        <f t="shared" ca="1" si="51"/>
        <v/>
      </c>
      <c r="AC51" s="83" t="str">
        <f t="shared" ca="1" si="51"/>
        <v/>
      </c>
      <c r="AD51" s="83" t="str">
        <f t="shared" ca="1" si="51"/>
        <v/>
      </c>
      <c r="AE51" s="83" t="str">
        <f t="shared" ca="1" si="51"/>
        <v/>
      </c>
      <c r="AF51" s="83" t="str">
        <f t="shared" ca="1" si="51"/>
        <v/>
      </c>
    </row>
    <row r="52" spans="1:32" x14ac:dyDescent="0.25">
      <c r="A52" s="84" t="str">
        <f>IF(B52&gt;0,1+A51,"")</f>
        <v/>
      </c>
      <c r="B52" s="85">
        <f>MIN(DOM!J6:L6)-G51</f>
        <v>0</v>
      </c>
      <c r="C52" s="85">
        <f ca="1">IF(MIN(DOM!N6:N12)&gt;0.08333,OFFSET(DOM!N5,MATCH(MIN(DOM!N6:N12),DOM!N6:N12,0),-4),MAX(DOM!K6:L13))</f>
        <v>0</v>
      </c>
      <c r="D52" s="85">
        <f ca="1">IF(MIN(DOM!N6:N12)&gt;0.08333,OFFSET(DOM!N5,MATCH(MIN(DOM!N6:N12),DOM!N6:N12,0),-2),MIN(DOM!J19:L19))</f>
        <v>0</v>
      </c>
      <c r="E52" s="85">
        <f>IF(MIN(DOM!N6:N12)&gt;0.08333,MAX(DOM!K6:L13),MAX(DOM!K19:L26))+G51</f>
        <v>0</v>
      </c>
      <c r="F52" s="85">
        <f t="shared" ref="F52:F72" si="52">E52-B52</f>
        <v>0</v>
      </c>
      <c r="G52" s="85"/>
      <c r="H52" s="86"/>
      <c r="I52" s="87" t="str">
        <f t="shared" ref="I52:AF52" ca="1" si="53">IF(AND(J$1-$B52&gt;=0.0208333,$C52-I$1&gt;0.0208333),"X",IF(AND(J$1-$D52&gt;=0.0208333,$E52-I$1&gt;0.0208333),"X",IF(MROUND($C52,"01:00")=I$1,IF(J$1-$D52+$C52-I$1&gt;=0.02083,"X",""),"")))</f>
        <v/>
      </c>
      <c r="J52" s="87" t="str">
        <f t="shared" ca="1" si="53"/>
        <v/>
      </c>
      <c r="K52" s="87" t="str">
        <f t="shared" ca="1" si="53"/>
        <v/>
      </c>
      <c r="L52" s="87" t="str">
        <f t="shared" ca="1" si="53"/>
        <v/>
      </c>
      <c r="M52" s="87" t="str">
        <f t="shared" ca="1" si="53"/>
        <v/>
      </c>
      <c r="N52" s="87" t="str">
        <f t="shared" ca="1" si="53"/>
        <v/>
      </c>
      <c r="O52" s="87" t="str">
        <f t="shared" ca="1" si="53"/>
        <v/>
      </c>
      <c r="P52" s="87" t="str">
        <f t="shared" ca="1" si="53"/>
        <v/>
      </c>
      <c r="Q52" s="87" t="str">
        <f t="shared" ca="1" si="53"/>
        <v/>
      </c>
      <c r="R52" s="87" t="str">
        <f t="shared" ca="1" si="53"/>
        <v/>
      </c>
      <c r="S52" s="87" t="str">
        <f t="shared" ca="1" si="53"/>
        <v/>
      </c>
      <c r="T52" s="87" t="str">
        <f t="shared" ca="1" si="53"/>
        <v/>
      </c>
      <c r="U52" s="87" t="str">
        <f t="shared" ca="1" si="53"/>
        <v/>
      </c>
      <c r="V52" s="87" t="str">
        <f t="shared" ca="1" si="53"/>
        <v/>
      </c>
      <c r="W52" s="87" t="str">
        <f t="shared" ca="1" si="53"/>
        <v/>
      </c>
      <c r="X52" s="87" t="str">
        <f t="shared" ca="1" si="53"/>
        <v/>
      </c>
      <c r="Y52" s="87" t="str">
        <f t="shared" ca="1" si="53"/>
        <v/>
      </c>
      <c r="Z52" s="87" t="str">
        <f t="shared" ca="1" si="53"/>
        <v/>
      </c>
      <c r="AA52" s="87" t="str">
        <f t="shared" ca="1" si="53"/>
        <v/>
      </c>
      <c r="AB52" s="87" t="str">
        <f t="shared" ca="1" si="53"/>
        <v/>
      </c>
      <c r="AC52" s="87" t="str">
        <f t="shared" ca="1" si="53"/>
        <v/>
      </c>
      <c r="AD52" s="87" t="str">
        <f t="shared" ca="1" si="53"/>
        <v/>
      </c>
      <c r="AE52" s="87" t="str">
        <f t="shared" ca="1" si="53"/>
        <v/>
      </c>
      <c r="AF52" s="87" t="str">
        <f t="shared" ca="1" si="53"/>
        <v/>
      </c>
    </row>
    <row r="53" spans="1:32" x14ac:dyDescent="0.25">
      <c r="A53" s="80" t="str">
        <f t="shared" ref="A53:A72" si="54">IF(B53&gt;0,1+A52,"")</f>
        <v/>
      </c>
      <c r="B53" s="81">
        <f>MIN(DOM!P6:R6)-G51</f>
        <v>0</v>
      </c>
      <c r="C53" s="81">
        <f ca="1">IF(MIN(DOM!T6:T12)&gt;0.08333,OFFSET(DOM!T5,MATCH(MIN(DOM!T6:T12),DOM!T6:T12,0),-4),MAX(DOM!Q6:R13))</f>
        <v>0</v>
      </c>
      <c r="D53" s="81">
        <f ca="1">IF(MIN(DOM!T6:T12)&gt;0.08333,OFFSET(DOM!T5,MATCH(MIN(DOM!T6:T12),DOM!T6:T12,0),-2),MIN(DOM!P19:R19))</f>
        <v>0</v>
      </c>
      <c r="E53" s="81">
        <f>IF(MIN(DOM!T6:T12)&gt;0.08333,MAX(DOM!Q6:R13),MAX(DOM!Q19:R26))+G51</f>
        <v>0</v>
      </c>
      <c r="F53" s="81">
        <f t="shared" si="52"/>
        <v>0</v>
      </c>
      <c r="G53" s="81"/>
      <c r="H53" s="82"/>
      <c r="I53" s="83" t="str">
        <f t="shared" ref="I53:AF53" ca="1" si="55">IF(AND(J$1-$B53&gt;=0.0208333,$C53-I$1&gt;0.0208333),"X",IF(AND(J$1-$D53&gt;=0.0208333,$E53-I$1&gt;0.0208333),"X",IF(MROUND($C53,"01:00")=I$1,IF(J$1-$D53+$C53-I$1&gt;=0.02083,"X",""),"")))</f>
        <v/>
      </c>
      <c r="J53" s="83" t="str">
        <f t="shared" ca="1" si="55"/>
        <v/>
      </c>
      <c r="K53" s="83" t="str">
        <f t="shared" ca="1" si="55"/>
        <v/>
      </c>
      <c r="L53" s="83" t="str">
        <f t="shared" ca="1" si="55"/>
        <v/>
      </c>
      <c r="M53" s="83" t="str">
        <f t="shared" ca="1" si="55"/>
        <v/>
      </c>
      <c r="N53" s="83" t="str">
        <f t="shared" ca="1" si="55"/>
        <v/>
      </c>
      <c r="O53" s="83" t="str">
        <f t="shared" ca="1" si="55"/>
        <v/>
      </c>
      <c r="P53" s="83" t="str">
        <f t="shared" ca="1" si="55"/>
        <v/>
      </c>
      <c r="Q53" s="83" t="str">
        <f t="shared" ca="1" si="55"/>
        <v/>
      </c>
      <c r="R53" s="83" t="str">
        <f t="shared" ca="1" si="55"/>
        <v/>
      </c>
      <c r="S53" s="83" t="str">
        <f t="shared" ca="1" si="55"/>
        <v/>
      </c>
      <c r="T53" s="83" t="str">
        <f t="shared" ca="1" si="55"/>
        <v/>
      </c>
      <c r="U53" s="83" t="str">
        <f t="shared" ca="1" si="55"/>
        <v/>
      </c>
      <c r="V53" s="83" t="str">
        <f t="shared" ca="1" si="55"/>
        <v/>
      </c>
      <c r="W53" s="83" t="str">
        <f t="shared" ca="1" si="55"/>
        <v/>
      </c>
      <c r="X53" s="83" t="str">
        <f t="shared" ca="1" si="55"/>
        <v/>
      </c>
      <c r="Y53" s="83" t="str">
        <f t="shared" ca="1" si="55"/>
        <v/>
      </c>
      <c r="Z53" s="83" t="str">
        <f t="shared" ca="1" si="55"/>
        <v/>
      </c>
      <c r="AA53" s="83" t="str">
        <f t="shared" ca="1" si="55"/>
        <v/>
      </c>
      <c r="AB53" s="83" t="str">
        <f t="shared" ca="1" si="55"/>
        <v/>
      </c>
      <c r="AC53" s="83" t="str">
        <f t="shared" ca="1" si="55"/>
        <v/>
      </c>
      <c r="AD53" s="83" t="str">
        <f t="shared" ca="1" si="55"/>
        <v/>
      </c>
      <c r="AE53" s="83" t="str">
        <f t="shared" ca="1" si="55"/>
        <v/>
      </c>
      <c r="AF53" s="83" t="str">
        <f t="shared" ca="1" si="55"/>
        <v/>
      </c>
    </row>
    <row r="54" spans="1:32" x14ac:dyDescent="0.25">
      <c r="A54" s="84" t="str">
        <f t="shared" si="54"/>
        <v/>
      </c>
      <c r="B54" s="85">
        <f>MIN(DOM!V6:X6)-G51</f>
        <v>0</v>
      </c>
      <c r="C54" s="85">
        <f ca="1">IF(MIN(DOM!Z6:Z12)&gt;0.08333,OFFSET(DOM!Z5,MATCH(MIN(DOM!Z6:Z12),DOM!Z6:Z12,0),-4),MAX(DOM!W6:X13))</f>
        <v>0</v>
      </c>
      <c r="D54" s="85">
        <f ca="1">IF(MIN(DOM!Z6:Z12)&gt;0.08333,OFFSET(DOM!Z5,MATCH(MIN(DOM!Z6:Z12),DOM!Z6:Z12,0),-2),MIN(DOM!V19:X19))</f>
        <v>0</v>
      </c>
      <c r="E54" s="85">
        <f>IF(MIN(DOM!Z6:Z12)&gt;0.08333,MAX(DOM!W6:X13),MAX(DOM!W19:X26))+G51</f>
        <v>0</v>
      </c>
      <c r="F54" s="85">
        <f t="shared" si="52"/>
        <v>0</v>
      </c>
      <c r="G54" s="85"/>
      <c r="H54" s="86"/>
      <c r="I54" s="87" t="str">
        <f t="shared" ref="I54:AF54" ca="1" si="56">IF(AND(J$1-$B54&gt;=0.0208333,$C54-I$1&gt;0.0208333),"X",IF(AND(J$1-$D54&gt;=0.0208333,$E54-I$1&gt;0.0208333),"X",IF(MROUND($C54,"01:00")=I$1,IF(J$1-$D54+$C54-I$1&gt;=0.02083,"X",""),"")))</f>
        <v/>
      </c>
      <c r="J54" s="87" t="str">
        <f t="shared" ca="1" si="56"/>
        <v/>
      </c>
      <c r="K54" s="87" t="str">
        <f t="shared" ca="1" si="56"/>
        <v/>
      </c>
      <c r="L54" s="87" t="str">
        <f t="shared" ca="1" si="56"/>
        <v/>
      </c>
      <c r="M54" s="87" t="str">
        <f t="shared" ca="1" si="56"/>
        <v/>
      </c>
      <c r="N54" s="87" t="str">
        <f t="shared" ca="1" si="56"/>
        <v/>
      </c>
      <c r="O54" s="87" t="str">
        <f t="shared" ca="1" si="56"/>
        <v/>
      </c>
      <c r="P54" s="87" t="str">
        <f t="shared" ca="1" si="56"/>
        <v/>
      </c>
      <c r="Q54" s="87" t="str">
        <f t="shared" ca="1" si="56"/>
        <v/>
      </c>
      <c r="R54" s="87" t="str">
        <f t="shared" ca="1" si="56"/>
        <v/>
      </c>
      <c r="S54" s="87" t="str">
        <f t="shared" ca="1" si="56"/>
        <v/>
      </c>
      <c r="T54" s="87" t="str">
        <f t="shared" ca="1" si="56"/>
        <v/>
      </c>
      <c r="U54" s="87" t="str">
        <f t="shared" ca="1" si="56"/>
        <v/>
      </c>
      <c r="V54" s="87" t="str">
        <f t="shared" ca="1" si="56"/>
        <v/>
      </c>
      <c r="W54" s="87" t="str">
        <f t="shared" ca="1" si="56"/>
        <v/>
      </c>
      <c r="X54" s="87" t="str">
        <f t="shared" ca="1" si="56"/>
        <v/>
      </c>
      <c r="Y54" s="87" t="str">
        <f t="shared" ca="1" si="56"/>
        <v/>
      </c>
      <c r="Z54" s="87" t="str">
        <f t="shared" ca="1" si="56"/>
        <v/>
      </c>
      <c r="AA54" s="87" t="str">
        <f t="shared" ca="1" si="56"/>
        <v/>
      </c>
      <c r="AB54" s="87" t="str">
        <f t="shared" ca="1" si="56"/>
        <v/>
      </c>
      <c r="AC54" s="87" t="str">
        <f t="shared" ca="1" si="56"/>
        <v/>
      </c>
      <c r="AD54" s="87" t="str">
        <f t="shared" ca="1" si="56"/>
        <v/>
      </c>
      <c r="AE54" s="87" t="str">
        <f t="shared" ca="1" si="56"/>
        <v/>
      </c>
      <c r="AF54" s="87" t="str">
        <f t="shared" ca="1" si="56"/>
        <v/>
      </c>
    </row>
    <row r="55" spans="1:32" x14ac:dyDescent="0.25">
      <c r="A55" s="80" t="str">
        <f t="shared" si="54"/>
        <v/>
      </c>
      <c r="B55" s="81">
        <f>MIN(DOM!AB6:AD6)-G51</f>
        <v>0</v>
      </c>
      <c r="C55" s="81">
        <f ca="1">IF(MIN(DOM!AF6:AF12)&gt;0.08333,OFFSET(DOM!AF5,MATCH(MIN(DOM!AF6:AF12),DOM!AF6:AF12,0),-4),MAX(DOM!AC6:AD13))</f>
        <v>0</v>
      </c>
      <c r="D55" s="81">
        <f ca="1">IF(MIN(DOM!AF6:AF12)&gt;0.08333,OFFSET(DOM!AF5,MATCH(MIN(DOM!AF6:AF12),DOM!AF6:AF12,0),-2),MIN(DOM!AB19:AD19))</f>
        <v>0</v>
      </c>
      <c r="E55" s="81">
        <f>IF(MIN(DOM!AF6:AF12)&gt;0.08333,MAX(DOM!AC6:AD13),MAX(DOM!AC19:AD26))+G51</f>
        <v>0</v>
      </c>
      <c r="F55" s="81">
        <f t="shared" si="52"/>
        <v>0</v>
      </c>
      <c r="G55" s="81"/>
      <c r="H55" s="82"/>
      <c r="I55" s="83" t="str">
        <f t="shared" ref="I55:AF55" ca="1" si="57">IF(AND(J$1-$B55&gt;=0.0208333,$C55-I$1&gt;0.0208333),"X",IF(AND(J$1-$D55&gt;=0.0208333,$E55-I$1&gt;0.0208333),"X",IF(MROUND($C55,"01:00")=I$1,IF(J$1-$D55+$C55-I$1&gt;=0.02083,"X",""),"")))</f>
        <v/>
      </c>
      <c r="J55" s="83" t="str">
        <f t="shared" ca="1" si="57"/>
        <v/>
      </c>
      <c r="K55" s="83" t="str">
        <f t="shared" ca="1" si="57"/>
        <v/>
      </c>
      <c r="L55" s="83" t="str">
        <f t="shared" ca="1" si="57"/>
        <v/>
      </c>
      <c r="M55" s="83" t="str">
        <f t="shared" ca="1" si="57"/>
        <v/>
      </c>
      <c r="N55" s="83" t="str">
        <f t="shared" ca="1" si="57"/>
        <v/>
      </c>
      <c r="O55" s="83" t="str">
        <f t="shared" ca="1" si="57"/>
        <v/>
      </c>
      <c r="P55" s="83" t="str">
        <f t="shared" ca="1" si="57"/>
        <v/>
      </c>
      <c r="Q55" s="83" t="str">
        <f t="shared" ca="1" si="57"/>
        <v/>
      </c>
      <c r="R55" s="83" t="str">
        <f t="shared" ca="1" si="57"/>
        <v/>
      </c>
      <c r="S55" s="83" t="str">
        <f t="shared" ca="1" si="57"/>
        <v/>
      </c>
      <c r="T55" s="83" t="str">
        <f t="shared" ca="1" si="57"/>
        <v/>
      </c>
      <c r="U55" s="83" t="str">
        <f t="shared" ca="1" si="57"/>
        <v/>
      </c>
      <c r="V55" s="83" t="str">
        <f t="shared" ca="1" si="57"/>
        <v/>
      </c>
      <c r="W55" s="83" t="str">
        <f t="shared" ca="1" si="57"/>
        <v/>
      </c>
      <c r="X55" s="83" t="str">
        <f t="shared" ca="1" si="57"/>
        <v/>
      </c>
      <c r="Y55" s="83" t="str">
        <f t="shared" ca="1" si="57"/>
        <v/>
      </c>
      <c r="Z55" s="83" t="str">
        <f t="shared" ca="1" si="57"/>
        <v/>
      </c>
      <c r="AA55" s="83" t="str">
        <f t="shared" ca="1" si="57"/>
        <v/>
      </c>
      <c r="AB55" s="83" t="str">
        <f t="shared" ca="1" si="57"/>
        <v/>
      </c>
      <c r="AC55" s="83" t="str">
        <f t="shared" ca="1" si="57"/>
        <v/>
      </c>
      <c r="AD55" s="83" t="str">
        <f t="shared" ca="1" si="57"/>
        <v/>
      </c>
      <c r="AE55" s="83" t="str">
        <f t="shared" ca="1" si="57"/>
        <v/>
      </c>
      <c r="AF55" s="83" t="str">
        <f t="shared" ca="1" si="57"/>
        <v/>
      </c>
    </row>
    <row r="56" spans="1:32" x14ac:dyDescent="0.25">
      <c r="A56" s="84" t="str">
        <f t="shared" si="54"/>
        <v/>
      </c>
      <c r="B56" s="85">
        <f>MIN(DOM!AH6:AJ6)-G51</f>
        <v>0</v>
      </c>
      <c r="C56" s="85">
        <f ca="1">IF(MIN(DOM!AL6:AL12)&gt;0.08333,OFFSET(DOM!AL5,MATCH(MIN(DOM!AL6:AL12),DOM!AL6:AL12,0),-4),MAX(DOM!AI6:AJ13))</f>
        <v>0</v>
      </c>
      <c r="D56" s="85">
        <f ca="1">IF(MIN(DOM!AL6:AL12)&gt;0.08333,OFFSET(DOM!AL5,MATCH(MIN(DOM!AL6:AL12),DOM!AL6:AL12,0),-2),MIN(DOM!AH19:AJ19))</f>
        <v>0</v>
      </c>
      <c r="E56" s="85">
        <f>IF(MIN(DOM!AL6:AL12)&gt;0.08333,MAX(DOM!AI6:AJ13),MAX(DOM!AI19:AJ26))+G51</f>
        <v>0</v>
      </c>
      <c r="F56" s="85">
        <f t="shared" si="52"/>
        <v>0</v>
      </c>
      <c r="G56" s="85"/>
      <c r="H56" s="86"/>
      <c r="I56" s="87" t="str">
        <f t="shared" ref="I56:AF56" ca="1" si="58">IF(AND(J$1-$B56&gt;=0.0208333,$C56-I$1&gt;0.0208333),"X",IF(AND(J$1-$D56&gt;=0.0208333,$E56-I$1&gt;0.0208333),"X",IF(MROUND($C56,"01:00")=I$1,IF(J$1-$D56+$C56-I$1&gt;=0.02083,"X",""),"")))</f>
        <v/>
      </c>
      <c r="J56" s="87" t="str">
        <f t="shared" ca="1" si="58"/>
        <v/>
      </c>
      <c r="K56" s="87" t="str">
        <f t="shared" ca="1" si="58"/>
        <v/>
      </c>
      <c r="L56" s="87" t="str">
        <f t="shared" ca="1" si="58"/>
        <v/>
      </c>
      <c r="M56" s="87" t="str">
        <f t="shared" ca="1" si="58"/>
        <v/>
      </c>
      <c r="N56" s="87" t="str">
        <f t="shared" ca="1" si="58"/>
        <v/>
      </c>
      <c r="O56" s="87" t="str">
        <f t="shared" ca="1" si="58"/>
        <v/>
      </c>
      <c r="P56" s="87" t="str">
        <f t="shared" ca="1" si="58"/>
        <v/>
      </c>
      <c r="Q56" s="87" t="str">
        <f t="shared" ca="1" si="58"/>
        <v/>
      </c>
      <c r="R56" s="87" t="str">
        <f t="shared" ca="1" si="58"/>
        <v/>
      </c>
      <c r="S56" s="87" t="str">
        <f t="shared" ca="1" si="58"/>
        <v/>
      </c>
      <c r="T56" s="87" t="str">
        <f t="shared" ca="1" si="58"/>
        <v/>
      </c>
      <c r="U56" s="87" t="str">
        <f t="shared" ca="1" si="58"/>
        <v/>
      </c>
      <c r="V56" s="87" t="str">
        <f t="shared" ca="1" si="58"/>
        <v/>
      </c>
      <c r="W56" s="87" t="str">
        <f t="shared" ca="1" si="58"/>
        <v/>
      </c>
      <c r="X56" s="87" t="str">
        <f t="shared" ca="1" si="58"/>
        <v/>
      </c>
      <c r="Y56" s="87" t="str">
        <f t="shared" ca="1" si="58"/>
        <v/>
      </c>
      <c r="Z56" s="87" t="str">
        <f t="shared" ca="1" si="58"/>
        <v/>
      </c>
      <c r="AA56" s="87" t="str">
        <f t="shared" ca="1" si="58"/>
        <v/>
      </c>
      <c r="AB56" s="87" t="str">
        <f t="shared" ca="1" si="58"/>
        <v/>
      </c>
      <c r="AC56" s="87" t="str">
        <f t="shared" ca="1" si="58"/>
        <v/>
      </c>
      <c r="AD56" s="87" t="str">
        <f t="shared" ca="1" si="58"/>
        <v/>
      </c>
      <c r="AE56" s="87" t="str">
        <f t="shared" ca="1" si="58"/>
        <v/>
      </c>
      <c r="AF56" s="87" t="str">
        <f t="shared" ca="1" si="58"/>
        <v/>
      </c>
    </row>
    <row r="57" spans="1:32" x14ac:dyDescent="0.25">
      <c r="A57" s="80" t="str">
        <f t="shared" si="54"/>
        <v/>
      </c>
      <c r="B57" s="81">
        <f>MIN(DOM!AN6:AP6)-G51</f>
        <v>0</v>
      </c>
      <c r="C57" s="81">
        <f ca="1">IF(MIN(DOM!AR6:AR12)&gt;0.08333,OFFSET(DOM!AR5,MATCH(MIN(DOM!AR6:AR12),DOM!AR6:AR12,0),-4),MAX(DOM!AO6:AP13))</f>
        <v>0</v>
      </c>
      <c r="D57" s="81">
        <f ca="1">IF(MIN(DOM!AR6:AR12)&gt;0.08333,OFFSET(DOM!AR5,MATCH(MIN(DOM!AR6:AR12),DOM!AR6:AR12,0),-2),MIN(DOM!AN19:AP19))</f>
        <v>0</v>
      </c>
      <c r="E57" s="81">
        <f>IF(MIN(DOM!AR6:AR12)&gt;0.08333,MAX(DOM!AO6:AP13),MAX(DOM!AO19:AP26))+G51</f>
        <v>0</v>
      </c>
      <c r="F57" s="81">
        <f t="shared" si="52"/>
        <v>0</v>
      </c>
      <c r="G57" s="81"/>
      <c r="H57" s="82"/>
      <c r="I57" s="83" t="str">
        <f t="shared" ref="I57:AF57" ca="1" si="59">IF(AND(J$1-$B57&gt;=0.0208333,$C57-I$1&gt;0.0208333),"X",IF(AND(J$1-$D57&gt;=0.0208333,$E57-I$1&gt;0.0208333),"X",IF(MROUND($C57,"01:00")=I$1,IF(J$1-$D57+$C57-I$1&gt;=0.02083,"X",""),"")))</f>
        <v/>
      </c>
      <c r="J57" s="83" t="str">
        <f t="shared" ca="1" si="59"/>
        <v/>
      </c>
      <c r="K57" s="83" t="str">
        <f t="shared" ca="1" si="59"/>
        <v/>
      </c>
      <c r="L57" s="83" t="str">
        <f t="shared" ca="1" si="59"/>
        <v/>
      </c>
      <c r="M57" s="83" t="str">
        <f t="shared" ca="1" si="59"/>
        <v/>
      </c>
      <c r="N57" s="83" t="str">
        <f t="shared" ca="1" si="59"/>
        <v/>
      </c>
      <c r="O57" s="83" t="str">
        <f t="shared" ca="1" si="59"/>
        <v/>
      </c>
      <c r="P57" s="83" t="str">
        <f t="shared" ca="1" si="59"/>
        <v/>
      </c>
      <c r="Q57" s="83" t="str">
        <f t="shared" ca="1" si="59"/>
        <v/>
      </c>
      <c r="R57" s="83" t="str">
        <f t="shared" ca="1" si="59"/>
        <v/>
      </c>
      <c r="S57" s="83" t="str">
        <f t="shared" ca="1" si="59"/>
        <v/>
      </c>
      <c r="T57" s="83" t="str">
        <f t="shared" ca="1" si="59"/>
        <v/>
      </c>
      <c r="U57" s="83" t="str">
        <f t="shared" ca="1" si="59"/>
        <v/>
      </c>
      <c r="V57" s="83" t="str">
        <f t="shared" ca="1" si="59"/>
        <v/>
      </c>
      <c r="W57" s="83" t="str">
        <f t="shared" ca="1" si="59"/>
        <v/>
      </c>
      <c r="X57" s="83" t="str">
        <f t="shared" ca="1" si="59"/>
        <v/>
      </c>
      <c r="Y57" s="83" t="str">
        <f t="shared" ca="1" si="59"/>
        <v/>
      </c>
      <c r="Z57" s="83" t="str">
        <f t="shared" ca="1" si="59"/>
        <v/>
      </c>
      <c r="AA57" s="83" t="str">
        <f t="shared" ca="1" si="59"/>
        <v/>
      </c>
      <c r="AB57" s="83" t="str">
        <f t="shared" ca="1" si="59"/>
        <v/>
      </c>
      <c r="AC57" s="83" t="str">
        <f t="shared" ca="1" si="59"/>
        <v/>
      </c>
      <c r="AD57" s="83" t="str">
        <f t="shared" ca="1" si="59"/>
        <v/>
      </c>
      <c r="AE57" s="83" t="str">
        <f t="shared" ca="1" si="59"/>
        <v/>
      </c>
      <c r="AF57" s="83" t="str">
        <f t="shared" ca="1" si="59"/>
        <v/>
      </c>
    </row>
    <row r="58" spans="1:32" x14ac:dyDescent="0.25">
      <c r="A58" s="84" t="str">
        <f t="shared" si="54"/>
        <v/>
      </c>
      <c r="B58" s="85">
        <f>MIN(DOM!AT6:AV6)-G51</f>
        <v>0</v>
      </c>
      <c r="C58" s="85">
        <f ca="1">IF(MIN(DOM!AX6:AX12)&gt;0.08333,OFFSET(DOM!AX5,MATCH(MIN(DOM!AX6:AX12),DOM!AX6:AX12,0),-4),MAX(DOM!AU6:AV13))</f>
        <v>0</v>
      </c>
      <c r="D58" s="85">
        <f ca="1">IF(MIN(DOM!AX6:AX12)&gt;0.08333,OFFSET(DOM!AX5,MATCH(MIN(DOM!AX6:AX12),DOM!AX6:AX12,0),-2),MIN(DOM!AT19:AV19))</f>
        <v>0</v>
      </c>
      <c r="E58" s="85">
        <f>IF(MIN(DOM!AX6:AX12)&gt;0.08333,MAX(DOM!AU6:AV13),MAX(DOM!AU19:AV26))+G51</f>
        <v>0</v>
      </c>
      <c r="F58" s="85">
        <f t="shared" si="52"/>
        <v>0</v>
      </c>
      <c r="G58" s="85"/>
      <c r="H58" s="86"/>
      <c r="I58" s="87" t="str">
        <f t="shared" ref="I58:AF58" ca="1" si="60">IF(AND(J$1-$B58&gt;=0.0208333,$C58-I$1&gt;0.0208333),"X",IF(AND(J$1-$D58&gt;=0.0208333,$E58-I$1&gt;0.0208333),"X",IF(MROUND($C58,"01:00")=I$1,IF(J$1-$D58+$C58-I$1&gt;=0.02083,"X",""),"")))</f>
        <v/>
      </c>
      <c r="J58" s="87" t="str">
        <f t="shared" ca="1" si="60"/>
        <v/>
      </c>
      <c r="K58" s="87" t="str">
        <f t="shared" ca="1" si="60"/>
        <v/>
      </c>
      <c r="L58" s="87" t="str">
        <f t="shared" ca="1" si="60"/>
        <v/>
      </c>
      <c r="M58" s="87" t="str">
        <f t="shared" ca="1" si="60"/>
        <v/>
      </c>
      <c r="N58" s="87" t="str">
        <f t="shared" ca="1" si="60"/>
        <v/>
      </c>
      <c r="O58" s="87" t="str">
        <f t="shared" ca="1" si="60"/>
        <v/>
      </c>
      <c r="P58" s="87" t="str">
        <f t="shared" ca="1" si="60"/>
        <v/>
      </c>
      <c r="Q58" s="87" t="str">
        <f t="shared" ca="1" si="60"/>
        <v/>
      </c>
      <c r="R58" s="87" t="str">
        <f t="shared" ca="1" si="60"/>
        <v/>
      </c>
      <c r="S58" s="87" t="str">
        <f t="shared" ca="1" si="60"/>
        <v/>
      </c>
      <c r="T58" s="87" t="str">
        <f t="shared" ca="1" si="60"/>
        <v/>
      </c>
      <c r="U58" s="87" t="str">
        <f t="shared" ca="1" si="60"/>
        <v/>
      </c>
      <c r="V58" s="87" t="str">
        <f t="shared" ca="1" si="60"/>
        <v/>
      </c>
      <c r="W58" s="87" t="str">
        <f t="shared" ca="1" si="60"/>
        <v/>
      </c>
      <c r="X58" s="87" t="str">
        <f t="shared" ca="1" si="60"/>
        <v/>
      </c>
      <c r="Y58" s="87" t="str">
        <f t="shared" ca="1" si="60"/>
        <v/>
      </c>
      <c r="Z58" s="87" t="str">
        <f t="shared" ca="1" si="60"/>
        <v/>
      </c>
      <c r="AA58" s="87" t="str">
        <f t="shared" ca="1" si="60"/>
        <v/>
      </c>
      <c r="AB58" s="87" t="str">
        <f t="shared" ca="1" si="60"/>
        <v/>
      </c>
      <c r="AC58" s="87" t="str">
        <f t="shared" ca="1" si="60"/>
        <v/>
      </c>
      <c r="AD58" s="87" t="str">
        <f t="shared" ca="1" si="60"/>
        <v/>
      </c>
      <c r="AE58" s="87" t="str">
        <f t="shared" ca="1" si="60"/>
        <v/>
      </c>
      <c r="AF58" s="87" t="str">
        <f t="shared" ca="1" si="60"/>
        <v/>
      </c>
    </row>
    <row r="59" spans="1:32" x14ac:dyDescent="0.25">
      <c r="A59" s="80" t="str">
        <f t="shared" si="54"/>
        <v/>
      </c>
      <c r="B59" s="81">
        <f>MIN(DOM!AZ6:BB6)-G51</f>
        <v>0</v>
      </c>
      <c r="C59" s="81">
        <f ca="1">IF(MIN(DOM!BD6:BD12)&gt;0.08333,OFFSET(DOM!BD5,MATCH(MIN(DOM!BD6:BD12),DOM!BD6:BD12,0),-4),MAX(DOM!BA6:BB13))</f>
        <v>0</v>
      </c>
      <c r="D59" s="81">
        <f ca="1">IF(MIN(DOM!BD6:BD12)&gt;0.08333,OFFSET(DOM!BD5,MATCH(MIN(DOM!BD6:BD12),DOM!BD6:BD12,0),-2),MIN(DOM!AZ19:BB19))</f>
        <v>0</v>
      </c>
      <c r="E59" s="81">
        <f>IF(MIN(DOM!BD6:BD12)&gt;0.08333,MAX(DOM!BA6:BB13),MAX(DOM!BA19:BB26))+G51</f>
        <v>0</v>
      </c>
      <c r="F59" s="81">
        <f t="shared" si="52"/>
        <v>0</v>
      </c>
      <c r="G59" s="81"/>
      <c r="H59" s="82"/>
      <c r="I59" s="83" t="str">
        <f t="shared" ref="I59:AF59" ca="1" si="61">IF(AND(J$1-$B59&gt;=0.0208333,$C59-I$1&gt;0.0208333),"X",IF(AND(J$1-$D59&gt;=0.0208333,$E59-I$1&gt;0.0208333),"X",IF(MROUND($C59,"01:00")=I$1,IF(J$1-$D59+$C59-I$1&gt;=0.02083,"X",""),"")))</f>
        <v/>
      </c>
      <c r="J59" s="83" t="str">
        <f t="shared" ca="1" si="61"/>
        <v/>
      </c>
      <c r="K59" s="83" t="str">
        <f t="shared" ca="1" si="61"/>
        <v/>
      </c>
      <c r="L59" s="83" t="str">
        <f t="shared" ca="1" si="61"/>
        <v/>
      </c>
      <c r="M59" s="83" t="str">
        <f t="shared" ca="1" si="61"/>
        <v/>
      </c>
      <c r="N59" s="83" t="str">
        <f t="shared" ca="1" si="61"/>
        <v/>
      </c>
      <c r="O59" s="83" t="str">
        <f t="shared" ca="1" si="61"/>
        <v/>
      </c>
      <c r="P59" s="83" t="str">
        <f t="shared" ca="1" si="61"/>
        <v/>
      </c>
      <c r="Q59" s="83" t="str">
        <f t="shared" ca="1" si="61"/>
        <v/>
      </c>
      <c r="R59" s="83" t="str">
        <f t="shared" ca="1" si="61"/>
        <v/>
      </c>
      <c r="S59" s="83" t="str">
        <f t="shared" ca="1" si="61"/>
        <v/>
      </c>
      <c r="T59" s="83" t="str">
        <f t="shared" ca="1" si="61"/>
        <v/>
      </c>
      <c r="U59" s="83" t="str">
        <f t="shared" ca="1" si="61"/>
        <v/>
      </c>
      <c r="V59" s="83" t="str">
        <f t="shared" ca="1" si="61"/>
        <v/>
      </c>
      <c r="W59" s="83" t="str">
        <f t="shared" ca="1" si="61"/>
        <v/>
      </c>
      <c r="X59" s="83" t="str">
        <f t="shared" ca="1" si="61"/>
        <v/>
      </c>
      <c r="Y59" s="83" t="str">
        <f t="shared" ca="1" si="61"/>
        <v/>
      </c>
      <c r="Z59" s="83" t="str">
        <f t="shared" ca="1" si="61"/>
        <v/>
      </c>
      <c r="AA59" s="83" t="str">
        <f t="shared" ca="1" si="61"/>
        <v/>
      </c>
      <c r="AB59" s="83" t="str">
        <f t="shared" ca="1" si="61"/>
        <v/>
      </c>
      <c r="AC59" s="83" t="str">
        <f t="shared" ca="1" si="61"/>
        <v/>
      </c>
      <c r="AD59" s="83" t="str">
        <f t="shared" ca="1" si="61"/>
        <v/>
      </c>
      <c r="AE59" s="83" t="str">
        <f t="shared" ca="1" si="61"/>
        <v/>
      </c>
      <c r="AF59" s="83" t="str">
        <f t="shared" ca="1" si="61"/>
        <v/>
      </c>
    </row>
    <row r="60" spans="1:32" x14ac:dyDescent="0.25">
      <c r="A60" s="84" t="str">
        <f t="shared" si="54"/>
        <v/>
      </c>
      <c r="B60" s="85">
        <f>MIN(DOM!BF6:BH6)-G51</f>
        <v>0</v>
      </c>
      <c r="C60" s="85">
        <f ca="1">IF(MIN(DOM!BJ6:BJ12)&gt;0.08333,OFFSET(DOM!BJ5,MATCH(MIN(DOM!BJ6:BJ12),DOM!BJ6:BJ12,0),-4),MAX(DOM!BG6:BH13))</f>
        <v>0</v>
      </c>
      <c r="D60" s="85">
        <f ca="1">IF(MIN(DOM!BJ6:BJ12)&gt;0.08333,OFFSET(DOM!BJ5,MATCH(MIN(DOM!BJ6:BJ12),DOM!BJ6:BJ12,0),-2),MIN(DOM!BF19:BH19))</f>
        <v>0</v>
      </c>
      <c r="E60" s="85">
        <f>IF(MIN(DOM!BJ6:BJ12)&gt;0.08333,MAX(DOM!BG6:BH13),MAX(DOM!BG19:BH26))+G51</f>
        <v>0</v>
      </c>
      <c r="F60" s="85">
        <f t="shared" si="52"/>
        <v>0</v>
      </c>
      <c r="G60" s="85"/>
      <c r="H60" s="86"/>
      <c r="I60" s="87" t="str">
        <f t="shared" ref="I60:AF60" ca="1" si="62">IF(AND(J$1-$B60&gt;=0.0208333,$C60-I$1&gt;0.0208333),"X",IF(AND(J$1-$D60&gt;=0.0208333,$E60-I$1&gt;0.0208333),"X",IF(MROUND($C60,"01:00")=I$1,IF(J$1-$D60+$C60-I$1&gt;=0.02083,"X",""),"")))</f>
        <v/>
      </c>
      <c r="J60" s="87" t="str">
        <f t="shared" ca="1" si="62"/>
        <v/>
      </c>
      <c r="K60" s="87" t="str">
        <f t="shared" ca="1" si="62"/>
        <v/>
      </c>
      <c r="L60" s="87" t="str">
        <f t="shared" ca="1" si="62"/>
        <v/>
      </c>
      <c r="M60" s="87" t="str">
        <f t="shared" ca="1" si="62"/>
        <v/>
      </c>
      <c r="N60" s="87" t="str">
        <f t="shared" ca="1" si="62"/>
        <v/>
      </c>
      <c r="O60" s="87" t="str">
        <f t="shared" ca="1" si="62"/>
        <v/>
      </c>
      <c r="P60" s="87" t="str">
        <f t="shared" ca="1" si="62"/>
        <v/>
      </c>
      <c r="Q60" s="87" t="str">
        <f t="shared" ca="1" si="62"/>
        <v/>
      </c>
      <c r="R60" s="87" t="str">
        <f t="shared" ca="1" si="62"/>
        <v/>
      </c>
      <c r="S60" s="87" t="str">
        <f t="shared" ca="1" si="62"/>
        <v/>
      </c>
      <c r="T60" s="87" t="str">
        <f t="shared" ca="1" si="62"/>
        <v/>
      </c>
      <c r="U60" s="87" t="str">
        <f t="shared" ca="1" si="62"/>
        <v/>
      </c>
      <c r="V60" s="87" t="str">
        <f t="shared" ca="1" si="62"/>
        <v/>
      </c>
      <c r="W60" s="87" t="str">
        <f t="shared" ca="1" si="62"/>
        <v/>
      </c>
      <c r="X60" s="87" t="str">
        <f t="shared" ca="1" si="62"/>
        <v/>
      </c>
      <c r="Y60" s="87" t="str">
        <f t="shared" ca="1" si="62"/>
        <v/>
      </c>
      <c r="Z60" s="87" t="str">
        <f t="shared" ca="1" si="62"/>
        <v/>
      </c>
      <c r="AA60" s="87" t="str">
        <f t="shared" ca="1" si="62"/>
        <v/>
      </c>
      <c r="AB60" s="87" t="str">
        <f t="shared" ca="1" si="62"/>
        <v/>
      </c>
      <c r="AC60" s="87" t="str">
        <f t="shared" ca="1" si="62"/>
        <v/>
      </c>
      <c r="AD60" s="87" t="str">
        <f t="shared" ca="1" si="62"/>
        <v/>
      </c>
      <c r="AE60" s="87" t="str">
        <f t="shared" ca="1" si="62"/>
        <v/>
      </c>
      <c r="AF60" s="87" t="str">
        <f t="shared" ca="1" si="62"/>
        <v/>
      </c>
    </row>
    <row r="61" spans="1:32" x14ac:dyDescent="0.25">
      <c r="A61" s="80" t="str">
        <f t="shared" si="54"/>
        <v/>
      </c>
      <c r="B61" s="81">
        <f>MIN(DOM!BL6:BN6)-G51</f>
        <v>0</v>
      </c>
      <c r="C61" s="81">
        <f ca="1">IF(MIN(DOM!BP6:BP12)&gt;0.08333,OFFSET(DOM!BP5,MATCH(MIN(DOM!BP6:BP12),DOM!BP6:BP12,0),-4),MAX(DOM!BM6:BN13))</f>
        <v>0</v>
      </c>
      <c r="D61" s="81">
        <f ca="1">IF(MIN(DOM!BP6:BP12)&gt;0.08333,OFFSET(DOM!BP5,MATCH(MIN(DOM!BP6:BP12),DOM!BP6:BP12,0),-2),MIN(DOM!BL19:BN19))</f>
        <v>0</v>
      </c>
      <c r="E61" s="81">
        <f>IF(MIN(DOM!BP6:BP12)&gt;0.08333,MAX(DOM!BM6:BN13),MAX(DOM!BM19:BN26))+G51</f>
        <v>0</v>
      </c>
      <c r="F61" s="81">
        <f t="shared" si="52"/>
        <v>0</v>
      </c>
      <c r="G61" s="81"/>
      <c r="H61" s="82"/>
      <c r="I61" s="83" t="str">
        <f t="shared" ref="I61:AF61" ca="1" si="63">IF(AND(J$1-$B61&gt;=0.0208333,$C61-I$1&gt;0.0208333),"X",IF(AND(J$1-$D61&gt;=0.0208333,$E61-I$1&gt;0.0208333),"X",IF(MROUND($C61,"01:00")=I$1,IF(J$1-$D61+$C61-I$1&gt;=0.02083,"X",""),"")))</f>
        <v/>
      </c>
      <c r="J61" s="83" t="str">
        <f t="shared" ca="1" si="63"/>
        <v/>
      </c>
      <c r="K61" s="83" t="str">
        <f t="shared" ca="1" si="63"/>
        <v/>
      </c>
      <c r="L61" s="83" t="str">
        <f t="shared" ca="1" si="63"/>
        <v/>
      </c>
      <c r="M61" s="83" t="str">
        <f t="shared" ca="1" si="63"/>
        <v/>
      </c>
      <c r="N61" s="83" t="str">
        <f t="shared" ca="1" si="63"/>
        <v/>
      </c>
      <c r="O61" s="83" t="str">
        <f t="shared" ca="1" si="63"/>
        <v/>
      </c>
      <c r="P61" s="83" t="str">
        <f t="shared" ca="1" si="63"/>
        <v/>
      </c>
      <c r="Q61" s="83" t="str">
        <f t="shared" ca="1" si="63"/>
        <v/>
      </c>
      <c r="R61" s="83" t="str">
        <f t="shared" ca="1" si="63"/>
        <v/>
      </c>
      <c r="S61" s="83" t="str">
        <f t="shared" ca="1" si="63"/>
        <v/>
      </c>
      <c r="T61" s="83" t="str">
        <f t="shared" ca="1" si="63"/>
        <v/>
      </c>
      <c r="U61" s="83" t="str">
        <f t="shared" ca="1" si="63"/>
        <v/>
      </c>
      <c r="V61" s="83" t="str">
        <f t="shared" ca="1" si="63"/>
        <v/>
      </c>
      <c r="W61" s="83" t="str">
        <f t="shared" ca="1" si="63"/>
        <v/>
      </c>
      <c r="X61" s="83" t="str">
        <f t="shared" ca="1" si="63"/>
        <v/>
      </c>
      <c r="Y61" s="83" t="str">
        <f t="shared" ca="1" si="63"/>
        <v/>
      </c>
      <c r="Z61" s="83" t="str">
        <f t="shared" ca="1" si="63"/>
        <v/>
      </c>
      <c r="AA61" s="83" t="str">
        <f t="shared" ca="1" si="63"/>
        <v/>
      </c>
      <c r="AB61" s="83" t="str">
        <f t="shared" ca="1" si="63"/>
        <v/>
      </c>
      <c r="AC61" s="83" t="str">
        <f t="shared" ca="1" si="63"/>
        <v/>
      </c>
      <c r="AD61" s="83" t="str">
        <f t="shared" ca="1" si="63"/>
        <v/>
      </c>
      <c r="AE61" s="83" t="str">
        <f t="shared" ca="1" si="63"/>
        <v/>
      </c>
      <c r="AF61" s="83" t="str">
        <f t="shared" ca="1" si="63"/>
        <v/>
      </c>
    </row>
    <row r="62" spans="1:32" x14ac:dyDescent="0.25">
      <c r="A62" s="84" t="str">
        <f t="shared" si="54"/>
        <v/>
      </c>
      <c r="B62" s="85">
        <f>MIN(DOM!BR6:BT6)-G51</f>
        <v>0</v>
      </c>
      <c r="C62" s="85">
        <f ca="1">IF(MIN(DOM!BV6:BV12)&gt;0.08333,OFFSET(DOM!BV5,MATCH(MIN(DOM!BV6:BV12),DOM!BV6:BV12,0),-4),MAX(DOM!BS6:BT13))</f>
        <v>0</v>
      </c>
      <c r="D62" s="85">
        <f ca="1">IF(MIN(DOM!BV6:BV12)&gt;0.08333,OFFSET(DOM!BV5,MATCH(MIN(DOM!BV6:BV12),DOM!BV6:BV12,0),-2),MIN(DOM!BR19:BT19))</f>
        <v>0</v>
      </c>
      <c r="E62" s="85">
        <f>IF(MIN(DOM!BV6:BV12)&gt;0.08333,MAX(DOM!BS6:BT13),MAX(DOM!BS19:BT26))+G51</f>
        <v>0</v>
      </c>
      <c r="F62" s="85">
        <f t="shared" si="52"/>
        <v>0</v>
      </c>
      <c r="G62" s="85"/>
      <c r="H62" s="86"/>
      <c r="I62" s="87" t="str">
        <f t="shared" ref="I62:AF62" ca="1" si="64">IF(AND(J$1-$B62&gt;=0.0208333,$C62-I$1&gt;0.0208333),"X",IF(AND(J$1-$D62&gt;=0.0208333,$E62-I$1&gt;0.0208333),"X",IF(MROUND($C62,"01:00")=I$1,IF(J$1-$D62+$C62-I$1&gt;=0.02083,"X",""),"")))</f>
        <v/>
      </c>
      <c r="J62" s="87" t="str">
        <f t="shared" ca="1" si="64"/>
        <v/>
      </c>
      <c r="K62" s="87" t="str">
        <f t="shared" ca="1" si="64"/>
        <v/>
      </c>
      <c r="L62" s="87" t="str">
        <f t="shared" ca="1" si="64"/>
        <v/>
      </c>
      <c r="M62" s="87" t="str">
        <f t="shared" ca="1" si="64"/>
        <v/>
      </c>
      <c r="N62" s="87" t="str">
        <f t="shared" ca="1" si="64"/>
        <v/>
      </c>
      <c r="O62" s="87" t="str">
        <f t="shared" ca="1" si="64"/>
        <v/>
      </c>
      <c r="P62" s="87" t="str">
        <f t="shared" ca="1" si="64"/>
        <v/>
      </c>
      <c r="Q62" s="87" t="str">
        <f t="shared" ca="1" si="64"/>
        <v/>
      </c>
      <c r="R62" s="87" t="str">
        <f t="shared" ca="1" si="64"/>
        <v/>
      </c>
      <c r="S62" s="87" t="str">
        <f t="shared" ca="1" si="64"/>
        <v/>
      </c>
      <c r="T62" s="87" t="str">
        <f t="shared" ca="1" si="64"/>
        <v/>
      </c>
      <c r="U62" s="87" t="str">
        <f t="shared" ca="1" si="64"/>
        <v/>
      </c>
      <c r="V62" s="87" t="str">
        <f t="shared" ca="1" si="64"/>
        <v/>
      </c>
      <c r="W62" s="87" t="str">
        <f t="shared" ca="1" si="64"/>
        <v/>
      </c>
      <c r="X62" s="87" t="str">
        <f t="shared" ca="1" si="64"/>
        <v/>
      </c>
      <c r="Y62" s="87" t="str">
        <f t="shared" ca="1" si="64"/>
        <v/>
      </c>
      <c r="Z62" s="87" t="str">
        <f t="shared" ca="1" si="64"/>
        <v/>
      </c>
      <c r="AA62" s="87" t="str">
        <f t="shared" ca="1" si="64"/>
        <v/>
      </c>
      <c r="AB62" s="87" t="str">
        <f t="shared" ca="1" si="64"/>
        <v/>
      </c>
      <c r="AC62" s="87" t="str">
        <f t="shared" ca="1" si="64"/>
        <v/>
      </c>
      <c r="AD62" s="87" t="str">
        <f t="shared" ca="1" si="64"/>
        <v/>
      </c>
      <c r="AE62" s="87" t="str">
        <f t="shared" ca="1" si="64"/>
        <v/>
      </c>
      <c r="AF62" s="87" t="str">
        <f t="shared" ca="1" si="64"/>
        <v/>
      </c>
    </row>
    <row r="63" spans="1:32" x14ac:dyDescent="0.25">
      <c r="A63" s="80" t="str">
        <f t="shared" si="54"/>
        <v/>
      </c>
      <c r="B63" s="81">
        <f>MIN(DOM!BX6:BZ6)-G51</f>
        <v>0</v>
      </c>
      <c r="C63" s="81">
        <f ca="1">IF(MIN(DOM!CB6:CB12)&gt;0.08333,OFFSET(DOM!CB5,MATCH(MIN(DOM!CB6:CB12),DOM!CB6:CB12,0),-4),MAX(DOM!BY6:BZ13))</f>
        <v>0</v>
      </c>
      <c r="D63" s="81">
        <f ca="1">IF(MIN(DOM!CB6:CB12)&gt;0.08333,OFFSET(DOM!CB5,MATCH(MIN(DOM!CB6:CB12),DOM!CB6:CB12,0),-2),MIN(DOM!BX19:BZ19))</f>
        <v>0</v>
      </c>
      <c r="E63" s="81">
        <f>IF(MIN(DOM!CB6:CB12)&gt;0.08333,MAX(DOM!BY6:BZ13),MAX(DOM!BY19:BZ26))+G51</f>
        <v>0</v>
      </c>
      <c r="F63" s="81">
        <f t="shared" si="52"/>
        <v>0</v>
      </c>
      <c r="G63" s="81"/>
      <c r="H63" s="82"/>
      <c r="I63" s="83" t="str">
        <f t="shared" ref="I63:AF63" ca="1" si="65">IF(AND(J$1-$B63&gt;=0.0208333,$C63-I$1&gt;0.0208333),"X",IF(AND(J$1-$D63&gt;=0.0208333,$E63-I$1&gt;0.0208333),"X",IF(MROUND($C63,"01:00")=I$1,IF(J$1-$D63+$C63-I$1&gt;=0.02083,"X",""),"")))</f>
        <v/>
      </c>
      <c r="J63" s="83" t="str">
        <f t="shared" ca="1" si="65"/>
        <v/>
      </c>
      <c r="K63" s="83" t="str">
        <f t="shared" ca="1" si="65"/>
        <v/>
      </c>
      <c r="L63" s="83" t="str">
        <f t="shared" ca="1" si="65"/>
        <v/>
      </c>
      <c r="M63" s="83" t="str">
        <f t="shared" ca="1" si="65"/>
        <v/>
      </c>
      <c r="N63" s="83" t="str">
        <f t="shared" ca="1" si="65"/>
        <v/>
      </c>
      <c r="O63" s="83" t="str">
        <f t="shared" ca="1" si="65"/>
        <v/>
      </c>
      <c r="P63" s="83" t="str">
        <f t="shared" ca="1" si="65"/>
        <v/>
      </c>
      <c r="Q63" s="83" t="str">
        <f t="shared" ca="1" si="65"/>
        <v/>
      </c>
      <c r="R63" s="83" t="str">
        <f t="shared" ca="1" si="65"/>
        <v/>
      </c>
      <c r="S63" s="83" t="str">
        <f t="shared" ca="1" si="65"/>
        <v/>
      </c>
      <c r="T63" s="83" t="str">
        <f t="shared" ca="1" si="65"/>
        <v/>
      </c>
      <c r="U63" s="83" t="str">
        <f t="shared" ca="1" si="65"/>
        <v/>
      </c>
      <c r="V63" s="83" t="str">
        <f t="shared" ca="1" si="65"/>
        <v/>
      </c>
      <c r="W63" s="83" t="str">
        <f t="shared" ca="1" si="65"/>
        <v/>
      </c>
      <c r="X63" s="83" t="str">
        <f t="shared" ca="1" si="65"/>
        <v/>
      </c>
      <c r="Y63" s="83" t="str">
        <f t="shared" ca="1" si="65"/>
        <v/>
      </c>
      <c r="Z63" s="83" t="str">
        <f t="shared" ca="1" si="65"/>
        <v/>
      </c>
      <c r="AA63" s="83" t="str">
        <f t="shared" ca="1" si="65"/>
        <v/>
      </c>
      <c r="AB63" s="83" t="str">
        <f t="shared" ca="1" si="65"/>
        <v/>
      </c>
      <c r="AC63" s="83" t="str">
        <f t="shared" ca="1" si="65"/>
        <v/>
      </c>
      <c r="AD63" s="83" t="str">
        <f t="shared" ca="1" si="65"/>
        <v/>
      </c>
      <c r="AE63" s="83" t="str">
        <f t="shared" ca="1" si="65"/>
        <v/>
      </c>
      <c r="AF63" s="83" t="str">
        <f t="shared" ca="1" si="65"/>
        <v/>
      </c>
    </row>
    <row r="64" spans="1:32" x14ac:dyDescent="0.25">
      <c r="A64" s="84" t="str">
        <f t="shared" si="54"/>
        <v/>
      </c>
      <c r="B64" s="85">
        <f>MIN(DOM!CD6:CF6)-G51</f>
        <v>0</v>
      </c>
      <c r="C64" s="85">
        <f ca="1">IF(MIN(DOM!CH6:CH12)&gt;0.08333,OFFSET(DOM!CH5,MATCH(MIN(DOM!CH6:CH12),DOM!CH6:CH12,0),-4),MAX(DOM!CE6:CF13))</f>
        <v>0</v>
      </c>
      <c r="D64" s="85">
        <f ca="1">IF(MIN(DOM!CH6:CH12)&gt;0.08333,OFFSET(DOM!CH5,MATCH(MIN(DOM!CH6:CH12),DOM!CH6:CH12,0),-2),MIN(DOM!CD19:CF19))</f>
        <v>0</v>
      </c>
      <c r="E64" s="85">
        <f>IF(MIN(DOM!CH6:CH12)&gt;0.08333,MAX(DOM!CE6:CF13),MAX(DOM!CE19:CF26))+G51</f>
        <v>0</v>
      </c>
      <c r="F64" s="85">
        <f t="shared" si="52"/>
        <v>0</v>
      </c>
      <c r="G64" s="85"/>
      <c r="H64" s="86"/>
      <c r="I64" s="87" t="str">
        <f t="shared" ref="I64:AF64" ca="1" si="66">IF(AND(J$1-$B64&gt;=0.0208333,$C64-I$1&gt;0.0208333),"X",IF(AND(J$1-$D64&gt;=0.0208333,$E64-I$1&gt;0.0208333),"X",IF(MROUND($C64,"01:00")=I$1,IF(J$1-$D64+$C64-I$1&gt;=0.02083,"X",""),"")))</f>
        <v/>
      </c>
      <c r="J64" s="87" t="str">
        <f t="shared" ca="1" si="66"/>
        <v/>
      </c>
      <c r="K64" s="87" t="str">
        <f t="shared" ca="1" si="66"/>
        <v/>
      </c>
      <c r="L64" s="87" t="str">
        <f t="shared" ca="1" si="66"/>
        <v/>
      </c>
      <c r="M64" s="87" t="str">
        <f t="shared" ca="1" si="66"/>
        <v/>
      </c>
      <c r="N64" s="87" t="str">
        <f t="shared" ca="1" si="66"/>
        <v/>
      </c>
      <c r="O64" s="87" t="str">
        <f t="shared" ca="1" si="66"/>
        <v/>
      </c>
      <c r="P64" s="87" t="str">
        <f t="shared" ca="1" si="66"/>
        <v/>
      </c>
      <c r="Q64" s="87" t="str">
        <f t="shared" ca="1" si="66"/>
        <v/>
      </c>
      <c r="R64" s="87" t="str">
        <f t="shared" ca="1" si="66"/>
        <v/>
      </c>
      <c r="S64" s="87" t="str">
        <f t="shared" ca="1" si="66"/>
        <v/>
      </c>
      <c r="T64" s="87" t="str">
        <f t="shared" ca="1" si="66"/>
        <v/>
      </c>
      <c r="U64" s="87" t="str">
        <f t="shared" ca="1" si="66"/>
        <v/>
      </c>
      <c r="V64" s="87" t="str">
        <f t="shared" ca="1" si="66"/>
        <v/>
      </c>
      <c r="W64" s="87" t="str">
        <f t="shared" ca="1" si="66"/>
        <v/>
      </c>
      <c r="X64" s="87" t="str">
        <f t="shared" ca="1" si="66"/>
        <v/>
      </c>
      <c r="Y64" s="87" t="str">
        <f t="shared" ca="1" si="66"/>
        <v/>
      </c>
      <c r="Z64" s="87" t="str">
        <f t="shared" ca="1" si="66"/>
        <v/>
      </c>
      <c r="AA64" s="87" t="str">
        <f t="shared" ca="1" si="66"/>
        <v/>
      </c>
      <c r="AB64" s="87" t="str">
        <f t="shared" ca="1" si="66"/>
        <v/>
      </c>
      <c r="AC64" s="87" t="str">
        <f t="shared" ca="1" si="66"/>
        <v/>
      </c>
      <c r="AD64" s="87" t="str">
        <f t="shared" ca="1" si="66"/>
        <v/>
      </c>
      <c r="AE64" s="87" t="str">
        <f t="shared" ca="1" si="66"/>
        <v/>
      </c>
      <c r="AF64" s="87" t="str">
        <f t="shared" ca="1" si="66"/>
        <v/>
      </c>
    </row>
    <row r="65" spans="1:32" x14ac:dyDescent="0.25">
      <c r="A65" s="80" t="str">
        <f t="shared" si="54"/>
        <v/>
      </c>
      <c r="B65" s="81">
        <f>MIN(DOM!CJ6:CL6)-G51</f>
        <v>0</v>
      </c>
      <c r="C65" s="81">
        <f ca="1">IF(MIN(DOM!CN6:CN12)&gt;0.08333,OFFSET(DOM!CN5,MATCH(MIN(DOM!CN6:CN12),DOM!CN6:CN12,0),-4),MAX(DOM!CK6:CL13))</f>
        <v>0</v>
      </c>
      <c r="D65" s="81">
        <f ca="1">IF(MIN(DOM!CN6:CN12)&gt;0.08333,OFFSET(DOM!CN5,MATCH(MIN(DOM!CN6:CN12),DOM!CN6:CN12,0),-2),MIN(DOM!CJ19:CL19))</f>
        <v>0</v>
      </c>
      <c r="E65" s="81">
        <f>IF(MIN(DOM!CN6:CN12)&gt;0.08333,MAX(DOM!CK6:CL13),MAX(DOM!CK19:CL26))+G51</f>
        <v>0</v>
      </c>
      <c r="F65" s="81">
        <f t="shared" si="52"/>
        <v>0</v>
      </c>
      <c r="G65" s="81"/>
      <c r="H65" s="82"/>
      <c r="I65" s="83" t="str">
        <f t="shared" ref="I65:AF65" ca="1" si="67">IF(AND(J$1-$B65&gt;=0.0208333,$C65-I$1&gt;0.0208333),"X",IF(AND(J$1-$D65&gt;=0.0208333,$E65-I$1&gt;0.0208333),"X",IF(MROUND($C65,"01:00")=I$1,IF(J$1-$D65+$C65-I$1&gt;=0.02083,"X",""),"")))</f>
        <v/>
      </c>
      <c r="J65" s="83" t="str">
        <f t="shared" ca="1" si="67"/>
        <v/>
      </c>
      <c r="K65" s="83" t="str">
        <f t="shared" ca="1" si="67"/>
        <v/>
      </c>
      <c r="L65" s="83" t="str">
        <f t="shared" ca="1" si="67"/>
        <v/>
      </c>
      <c r="M65" s="83" t="str">
        <f t="shared" ca="1" si="67"/>
        <v/>
      </c>
      <c r="N65" s="83" t="str">
        <f t="shared" ca="1" si="67"/>
        <v/>
      </c>
      <c r="O65" s="83" t="str">
        <f t="shared" ca="1" si="67"/>
        <v/>
      </c>
      <c r="P65" s="83" t="str">
        <f t="shared" ca="1" si="67"/>
        <v/>
      </c>
      <c r="Q65" s="83" t="str">
        <f t="shared" ca="1" si="67"/>
        <v/>
      </c>
      <c r="R65" s="83" t="str">
        <f t="shared" ca="1" si="67"/>
        <v/>
      </c>
      <c r="S65" s="83" t="str">
        <f t="shared" ca="1" si="67"/>
        <v/>
      </c>
      <c r="T65" s="83" t="str">
        <f t="shared" ca="1" si="67"/>
        <v/>
      </c>
      <c r="U65" s="83" t="str">
        <f t="shared" ca="1" si="67"/>
        <v/>
      </c>
      <c r="V65" s="83" t="str">
        <f t="shared" ca="1" si="67"/>
        <v/>
      </c>
      <c r="W65" s="83" t="str">
        <f t="shared" ca="1" si="67"/>
        <v/>
      </c>
      <c r="X65" s="83" t="str">
        <f t="shared" ca="1" si="67"/>
        <v/>
      </c>
      <c r="Y65" s="83" t="str">
        <f t="shared" ca="1" si="67"/>
        <v/>
      </c>
      <c r="Z65" s="83" t="str">
        <f t="shared" ca="1" si="67"/>
        <v/>
      </c>
      <c r="AA65" s="83" t="str">
        <f t="shared" ca="1" si="67"/>
        <v/>
      </c>
      <c r="AB65" s="83" t="str">
        <f t="shared" ca="1" si="67"/>
        <v/>
      </c>
      <c r="AC65" s="83" t="str">
        <f t="shared" ca="1" si="67"/>
        <v/>
      </c>
      <c r="AD65" s="83" t="str">
        <f t="shared" ca="1" si="67"/>
        <v/>
      </c>
      <c r="AE65" s="83" t="str">
        <f t="shared" ca="1" si="67"/>
        <v/>
      </c>
      <c r="AF65" s="83" t="str">
        <f t="shared" ca="1" si="67"/>
        <v/>
      </c>
    </row>
    <row r="66" spans="1:32" x14ac:dyDescent="0.25">
      <c r="A66" s="84" t="str">
        <f t="shared" si="54"/>
        <v/>
      </c>
      <c r="B66" s="85">
        <f>MIN(DOM!CP6:CR6)-G51</f>
        <v>0</v>
      </c>
      <c r="C66" s="85">
        <f ca="1">IF(MIN(DOM!CT6:CT12)&gt;0.08333,OFFSET(DOM!CT5,MATCH(MIN(DOM!CT6:CT12),DOM!CT6:CT12,0),-4),MAX(DOM!CQ6:CR13))</f>
        <v>0</v>
      </c>
      <c r="D66" s="85">
        <f ca="1">IF(MIN(DOM!CT6:CT12)&gt;0.08333,OFFSET(DOM!CT5,MATCH(MIN(DOM!CT6:CT12),DOM!CT6:CT12,0),-2),MIN(DOM!CP19:CR19))</f>
        <v>0</v>
      </c>
      <c r="E66" s="85">
        <f>IF(MIN(DOM!CT6:CT12)&gt;0.08333,MAX(DOM!CQ6:CR13),MAX(DOM!CQ19:CR26))+G51</f>
        <v>0</v>
      </c>
      <c r="F66" s="85">
        <f t="shared" si="52"/>
        <v>0</v>
      </c>
      <c r="G66" s="85"/>
      <c r="H66" s="86"/>
      <c r="I66" s="87" t="str">
        <f t="shared" ref="I66:AF66" ca="1" si="68">IF(AND(J$1-$B66&gt;=0.0208333,$C66-I$1&gt;0.0208333),"X",IF(AND(J$1-$D66&gt;=0.0208333,$E66-I$1&gt;0.0208333),"X",IF(MROUND($C66,"01:00")=I$1,IF(J$1-$D66+$C66-I$1&gt;=0.02083,"X",""),"")))</f>
        <v/>
      </c>
      <c r="J66" s="87" t="str">
        <f t="shared" ca="1" si="68"/>
        <v/>
      </c>
      <c r="K66" s="87" t="str">
        <f t="shared" ca="1" si="68"/>
        <v/>
      </c>
      <c r="L66" s="87" t="str">
        <f t="shared" ca="1" si="68"/>
        <v/>
      </c>
      <c r="M66" s="87" t="str">
        <f t="shared" ca="1" si="68"/>
        <v/>
      </c>
      <c r="N66" s="87" t="str">
        <f t="shared" ca="1" si="68"/>
        <v/>
      </c>
      <c r="O66" s="87" t="str">
        <f t="shared" ca="1" si="68"/>
        <v/>
      </c>
      <c r="P66" s="87" t="str">
        <f t="shared" ca="1" si="68"/>
        <v/>
      </c>
      <c r="Q66" s="87" t="str">
        <f t="shared" ca="1" si="68"/>
        <v/>
      </c>
      <c r="R66" s="87" t="str">
        <f t="shared" ca="1" si="68"/>
        <v/>
      </c>
      <c r="S66" s="87" t="str">
        <f t="shared" ca="1" si="68"/>
        <v/>
      </c>
      <c r="T66" s="87" t="str">
        <f t="shared" ca="1" si="68"/>
        <v/>
      </c>
      <c r="U66" s="87" t="str">
        <f t="shared" ca="1" si="68"/>
        <v/>
      </c>
      <c r="V66" s="87" t="str">
        <f t="shared" ca="1" si="68"/>
        <v/>
      </c>
      <c r="W66" s="87" t="str">
        <f t="shared" ca="1" si="68"/>
        <v/>
      </c>
      <c r="X66" s="87" t="str">
        <f t="shared" ca="1" si="68"/>
        <v/>
      </c>
      <c r="Y66" s="87" t="str">
        <f t="shared" ca="1" si="68"/>
        <v/>
      </c>
      <c r="Z66" s="87" t="str">
        <f t="shared" ca="1" si="68"/>
        <v/>
      </c>
      <c r="AA66" s="87" t="str">
        <f t="shared" ca="1" si="68"/>
        <v/>
      </c>
      <c r="AB66" s="87" t="str">
        <f t="shared" ca="1" si="68"/>
        <v/>
      </c>
      <c r="AC66" s="87" t="str">
        <f t="shared" ca="1" si="68"/>
        <v/>
      </c>
      <c r="AD66" s="87" t="str">
        <f t="shared" ca="1" si="68"/>
        <v/>
      </c>
      <c r="AE66" s="87" t="str">
        <f t="shared" ca="1" si="68"/>
        <v/>
      </c>
      <c r="AF66" s="87" t="str">
        <f t="shared" ca="1" si="68"/>
        <v/>
      </c>
    </row>
    <row r="67" spans="1:32" x14ac:dyDescent="0.25">
      <c r="A67" s="80" t="str">
        <f t="shared" si="54"/>
        <v/>
      </c>
      <c r="B67" s="81">
        <f>MIN(DOM!CV6:CX6)-G51</f>
        <v>0</v>
      </c>
      <c r="C67" s="81">
        <f ca="1">IF(MIN(DOM!CZ6:CZ12)&gt;0.08333,OFFSET(DOM!CZ5,MATCH(MIN(DOM!CZ6:CZ12),DOM!CZ6:CZ12,0),-4),MAX(DOM!CW6:CX13))</f>
        <v>0</v>
      </c>
      <c r="D67" s="81">
        <f ca="1">IF(MIN(DOM!CZ6:CZ12)&gt;0.08333,OFFSET(DOM!CZ5,MATCH(MIN(DOM!CZ6:CZ12),DOM!CZ6:CZ12,0),-2),MIN(DOM!CV19:CX19))</f>
        <v>0</v>
      </c>
      <c r="E67" s="81">
        <f>IF(MIN(DOM!CZ6:CZ12)&gt;0.08333,MAX(DOM!CW6:CX13),MAX(DOM!CW19:CX26))+G51</f>
        <v>0</v>
      </c>
      <c r="F67" s="81">
        <f t="shared" si="52"/>
        <v>0</v>
      </c>
      <c r="G67" s="81"/>
      <c r="H67" s="82"/>
      <c r="I67" s="83" t="str">
        <f t="shared" ref="I67:AF67" ca="1" si="69">IF(AND(J$1-$B67&gt;=0.0208333,$C67-I$1&gt;0.0208333),"X",IF(AND(J$1-$D67&gt;=0.0208333,$E67-I$1&gt;0.0208333),"X",IF(MROUND($C67,"01:00")=I$1,IF(J$1-$D67+$C67-I$1&gt;=0.02083,"X",""),"")))</f>
        <v/>
      </c>
      <c r="J67" s="83" t="str">
        <f t="shared" ca="1" si="69"/>
        <v/>
      </c>
      <c r="K67" s="83" t="str">
        <f t="shared" ca="1" si="69"/>
        <v/>
      </c>
      <c r="L67" s="83" t="str">
        <f t="shared" ca="1" si="69"/>
        <v/>
      </c>
      <c r="M67" s="83" t="str">
        <f t="shared" ca="1" si="69"/>
        <v/>
      </c>
      <c r="N67" s="83" t="str">
        <f t="shared" ca="1" si="69"/>
        <v/>
      </c>
      <c r="O67" s="83" t="str">
        <f t="shared" ca="1" si="69"/>
        <v/>
      </c>
      <c r="P67" s="83" t="str">
        <f t="shared" ca="1" si="69"/>
        <v/>
      </c>
      <c r="Q67" s="83" t="str">
        <f t="shared" ca="1" si="69"/>
        <v/>
      </c>
      <c r="R67" s="83" t="str">
        <f t="shared" ca="1" si="69"/>
        <v/>
      </c>
      <c r="S67" s="83" t="str">
        <f t="shared" ca="1" si="69"/>
        <v/>
      </c>
      <c r="T67" s="83" t="str">
        <f t="shared" ca="1" si="69"/>
        <v/>
      </c>
      <c r="U67" s="83" t="str">
        <f t="shared" ca="1" si="69"/>
        <v/>
      </c>
      <c r="V67" s="83" t="str">
        <f t="shared" ca="1" si="69"/>
        <v/>
      </c>
      <c r="W67" s="83" t="str">
        <f t="shared" ca="1" si="69"/>
        <v/>
      </c>
      <c r="X67" s="83" t="str">
        <f t="shared" ca="1" si="69"/>
        <v/>
      </c>
      <c r="Y67" s="83" t="str">
        <f t="shared" ca="1" si="69"/>
        <v/>
      </c>
      <c r="Z67" s="83" t="str">
        <f t="shared" ca="1" si="69"/>
        <v/>
      </c>
      <c r="AA67" s="83" t="str">
        <f t="shared" ca="1" si="69"/>
        <v/>
      </c>
      <c r="AB67" s="83" t="str">
        <f t="shared" ca="1" si="69"/>
        <v/>
      </c>
      <c r="AC67" s="83" t="str">
        <f t="shared" ca="1" si="69"/>
        <v/>
      </c>
      <c r="AD67" s="83" t="str">
        <f t="shared" ca="1" si="69"/>
        <v/>
      </c>
      <c r="AE67" s="83" t="str">
        <f t="shared" ca="1" si="69"/>
        <v/>
      </c>
      <c r="AF67" s="83" t="str">
        <f t="shared" ca="1" si="69"/>
        <v/>
      </c>
    </row>
    <row r="68" spans="1:32" x14ac:dyDescent="0.25">
      <c r="A68" s="84" t="str">
        <f t="shared" si="54"/>
        <v/>
      </c>
      <c r="B68" s="85">
        <f>MIN(DOM!DB6:DD6)-G51</f>
        <v>0</v>
      </c>
      <c r="C68" s="85">
        <f ca="1">IF(MIN(DOM!DF6:DF12)&gt;0.08333,OFFSET(DOM!DF5,MATCH(MIN(DOM!DF6:DF12),DOM!DF6:DF12,0),-4),MAX(DOM!DC6:DD13))</f>
        <v>0</v>
      </c>
      <c r="D68" s="85">
        <f ca="1">IF(MIN(DOM!DF6:DF12)&gt;0.08333,OFFSET(DOM!DF5,MATCH(MIN(DOM!DF6:DF12),DOM!DF6:DF12,0),-2),MIN(DOM!DB19:DD19))</f>
        <v>0</v>
      </c>
      <c r="E68" s="85">
        <f>IF(MIN(DOM!DF6:DF12)&gt;0.08333,MAX(DOM!DC6:DD13),MAX(DOM!DC19:DD26))+G51</f>
        <v>0</v>
      </c>
      <c r="F68" s="85">
        <f t="shared" si="52"/>
        <v>0</v>
      </c>
      <c r="G68" s="85"/>
      <c r="H68" s="86"/>
      <c r="I68" s="87" t="str">
        <f t="shared" ref="I68:AF68" ca="1" si="70">IF(AND(J$1-$B68&gt;=0.0208333,$C68-I$1&gt;0.0208333),"X",IF(AND(J$1-$D68&gt;=0.0208333,$E68-I$1&gt;0.0208333),"X",IF(MROUND($C68,"01:00")=I$1,IF(J$1-$D68+$C68-I$1&gt;=0.02083,"X",""),"")))</f>
        <v/>
      </c>
      <c r="J68" s="87" t="str">
        <f t="shared" ca="1" si="70"/>
        <v/>
      </c>
      <c r="K68" s="87" t="str">
        <f t="shared" ca="1" si="70"/>
        <v/>
      </c>
      <c r="L68" s="87" t="str">
        <f t="shared" ca="1" si="70"/>
        <v/>
      </c>
      <c r="M68" s="87" t="str">
        <f t="shared" ca="1" si="70"/>
        <v/>
      </c>
      <c r="N68" s="87" t="str">
        <f t="shared" ca="1" si="70"/>
        <v/>
      </c>
      <c r="O68" s="87" t="str">
        <f t="shared" ca="1" si="70"/>
        <v/>
      </c>
      <c r="P68" s="87" t="str">
        <f t="shared" ca="1" si="70"/>
        <v/>
      </c>
      <c r="Q68" s="87" t="str">
        <f t="shared" ca="1" si="70"/>
        <v/>
      </c>
      <c r="R68" s="87" t="str">
        <f t="shared" ca="1" si="70"/>
        <v/>
      </c>
      <c r="S68" s="87" t="str">
        <f t="shared" ca="1" si="70"/>
        <v/>
      </c>
      <c r="T68" s="87" t="str">
        <f t="shared" ca="1" si="70"/>
        <v/>
      </c>
      <c r="U68" s="87" t="str">
        <f t="shared" ca="1" si="70"/>
        <v/>
      </c>
      <c r="V68" s="87" t="str">
        <f t="shared" ca="1" si="70"/>
        <v/>
      </c>
      <c r="W68" s="87" t="str">
        <f t="shared" ca="1" si="70"/>
        <v/>
      </c>
      <c r="X68" s="87" t="str">
        <f t="shared" ca="1" si="70"/>
        <v/>
      </c>
      <c r="Y68" s="87" t="str">
        <f t="shared" ca="1" si="70"/>
        <v/>
      </c>
      <c r="Z68" s="87" t="str">
        <f t="shared" ca="1" si="70"/>
        <v/>
      </c>
      <c r="AA68" s="87" t="str">
        <f t="shared" ca="1" si="70"/>
        <v/>
      </c>
      <c r="AB68" s="87" t="str">
        <f t="shared" ca="1" si="70"/>
        <v/>
      </c>
      <c r="AC68" s="87" t="str">
        <f t="shared" ca="1" si="70"/>
        <v/>
      </c>
      <c r="AD68" s="87" t="str">
        <f t="shared" ca="1" si="70"/>
        <v/>
      </c>
      <c r="AE68" s="87" t="str">
        <f t="shared" ca="1" si="70"/>
        <v/>
      </c>
      <c r="AF68" s="87" t="str">
        <f t="shared" ca="1" si="70"/>
        <v/>
      </c>
    </row>
    <row r="69" spans="1:32" x14ac:dyDescent="0.25">
      <c r="A69" s="80" t="str">
        <f t="shared" si="54"/>
        <v/>
      </c>
      <c r="B69" s="81">
        <f>MIN(DOM!DH6:DJ6)-G51</f>
        <v>0</v>
      </c>
      <c r="C69" s="81">
        <f ca="1">IF(MIN(DOM!DL6:DL12)&gt;0.08333,OFFSET(DOM!DL5,MATCH(MIN(DOM!DL6:DL12),DOM!DL6:DL12,0),-4),MAX(DOM!DI6:DJ13))</f>
        <v>0</v>
      </c>
      <c r="D69" s="81">
        <f ca="1">IF(MIN(DOM!DL6:DL12)&gt;0.08333,OFFSET(DOM!DL5,MATCH(MIN(DOM!DL6:DL12),DOM!DL6:DL12,0),-2),MIN(DOM!DH19:DJ19))</f>
        <v>0</v>
      </c>
      <c r="E69" s="81">
        <f>IF(MIN(DOM!DL6:DL12)&gt;0.08333,MAX(DOM!DI6:DJ13),MAX(DOM!DI19:DJ26))+G51</f>
        <v>0</v>
      </c>
      <c r="F69" s="81">
        <f t="shared" si="52"/>
        <v>0</v>
      </c>
      <c r="G69" s="81"/>
      <c r="H69" s="82"/>
      <c r="I69" s="83" t="str">
        <f t="shared" ref="I69:AF69" ca="1" si="71">IF(AND(J$1-$B69&gt;=0.0208333,$C69-I$1&gt;0.0208333),"X",IF(AND(J$1-$D69&gt;=0.0208333,$E69-I$1&gt;0.0208333),"X",IF(MROUND($C69,"01:00")=I$1,IF(J$1-$D69+$C69-I$1&gt;=0.02083,"X",""),"")))</f>
        <v/>
      </c>
      <c r="J69" s="83" t="str">
        <f t="shared" ca="1" si="71"/>
        <v/>
      </c>
      <c r="K69" s="83" t="str">
        <f t="shared" ca="1" si="71"/>
        <v/>
      </c>
      <c r="L69" s="83" t="str">
        <f t="shared" ca="1" si="71"/>
        <v/>
      </c>
      <c r="M69" s="83" t="str">
        <f t="shared" ca="1" si="71"/>
        <v/>
      </c>
      <c r="N69" s="83" t="str">
        <f t="shared" ca="1" si="71"/>
        <v/>
      </c>
      <c r="O69" s="83" t="str">
        <f t="shared" ca="1" si="71"/>
        <v/>
      </c>
      <c r="P69" s="83" t="str">
        <f t="shared" ca="1" si="71"/>
        <v/>
      </c>
      <c r="Q69" s="83" t="str">
        <f t="shared" ca="1" si="71"/>
        <v/>
      </c>
      <c r="R69" s="83" t="str">
        <f t="shared" ca="1" si="71"/>
        <v/>
      </c>
      <c r="S69" s="83" t="str">
        <f t="shared" ca="1" si="71"/>
        <v/>
      </c>
      <c r="T69" s="83" t="str">
        <f t="shared" ca="1" si="71"/>
        <v/>
      </c>
      <c r="U69" s="83" t="str">
        <f t="shared" ca="1" si="71"/>
        <v/>
      </c>
      <c r="V69" s="83" t="str">
        <f t="shared" ca="1" si="71"/>
        <v/>
      </c>
      <c r="W69" s="83" t="str">
        <f t="shared" ca="1" si="71"/>
        <v/>
      </c>
      <c r="X69" s="83" t="str">
        <f t="shared" ca="1" si="71"/>
        <v/>
      </c>
      <c r="Y69" s="83" t="str">
        <f t="shared" ca="1" si="71"/>
        <v/>
      </c>
      <c r="Z69" s="83" t="str">
        <f t="shared" ca="1" si="71"/>
        <v/>
      </c>
      <c r="AA69" s="83" t="str">
        <f t="shared" ca="1" si="71"/>
        <v/>
      </c>
      <c r="AB69" s="83" t="str">
        <f t="shared" ca="1" si="71"/>
        <v/>
      </c>
      <c r="AC69" s="83" t="str">
        <f t="shared" ca="1" si="71"/>
        <v/>
      </c>
      <c r="AD69" s="83" t="str">
        <f t="shared" ca="1" si="71"/>
        <v/>
      </c>
      <c r="AE69" s="83" t="str">
        <f t="shared" ca="1" si="71"/>
        <v/>
      </c>
      <c r="AF69" s="83" t="str">
        <f t="shared" ca="1" si="71"/>
        <v/>
      </c>
    </row>
    <row r="70" spans="1:32" x14ac:dyDescent="0.25">
      <c r="A70" s="84" t="str">
        <f t="shared" si="54"/>
        <v/>
      </c>
      <c r="B70" s="85">
        <f>MIN(DOM!DN6:DP6)-G51</f>
        <v>0</v>
      </c>
      <c r="C70" s="85">
        <f ca="1">IF(MIN(DOM!DR6:DR12)&gt;0.08333,OFFSET(DOM!DR5,MATCH(MIN(DOM!DR6:DR12),DOM!DR6:DR12,0),-4),MAX(DOM!DO6:DP13))</f>
        <v>0</v>
      </c>
      <c r="D70" s="85">
        <f ca="1">IF(MIN(DOM!DR6:DR12)&gt;0.08333,OFFSET(DOM!DR5,MATCH(MIN(DOM!DR6:DR12),DOM!DR6:DR12,0),-2),MIN(DOM!DN19:DP19))</f>
        <v>0</v>
      </c>
      <c r="E70" s="85">
        <f>IF(MIN(DOM!DR6:DR12)&gt;0.08333,MAX(DOM!DO6:DP13),MAX(DOM!DO19:DP26))+G51</f>
        <v>0</v>
      </c>
      <c r="F70" s="85">
        <f t="shared" si="52"/>
        <v>0</v>
      </c>
      <c r="G70" s="85"/>
      <c r="H70" s="86"/>
      <c r="I70" s="87" t="str">
        <f t="shared" ref="I70:AF70" ca="1" si="72">IF(AND(J$1-$B70&gt;=0.0208333,$C70-I$1&gt;0.0208333),"X",IF(AND(J$1-$D70&gt;=0.0208333,$E70-I$1&gt;0.0208333),"X",IF(MROUND($C70,"01:00")=I$1,IF(J$1-$D70+$C70-I$1&gt;=0.02083,"X",""),"")))</f>
        <v/>
      </c>
      <c r="J70" s="87" t="str">
        <f t="shared" ca="1" si="72"/>
        <v/>
      </c>
      <c r="K70" s="87" t="str">
        <f t="shared" ca="1" si="72"/>
        <v/>
      </c>
      <c r="L70" s="87" t="str">
        <f t="shared" ca="1" si="72"/>
        <v/>
      </c>
      <c r="M70" s="87" t="str">
        <f t="shared" ca="1" si="72"/>
        <v/>
      </c>
      <c r="N70" s="87" t="str">
        <f t="shared" ca="1" si="72"/>
        <v/>
      </c>
      <c r="O70" s="87" t="str">
        <f t="shared" ca="1" si="72"/>
        <v/>
      </c>
      <c r="P70" s="87" t="str">
        <f t="shared" ca="1" si="72"/>
        <v/>
      </c>
      <c r="Q70" s="87" t="str">
        <f t="shared" ca="1" si="72"/>
        <v/>
      </c>
      <c r="R70" s="87" t="str">
        <f t="shared" ca="1" si="72"/>
        <v/>
      </c>
      <c r="S70" s="87" t="str">
        <f t="shared" ca="1" si="72"/>
        <v/>
      </c>
      <c r="T70" s="87" t="str">
        <f t="shared" ca="1" si="72"/>
        <v/>
      </c>
      <c r="U70" s="87" t="str">
        <f t="shared" ca="1" si="72"/>
        <v/>
      </c>
      <c r="V70" s="87" t="str">
        <f t="shared" ca="1" si="72"/>
        <v/>
      </c>
      <c r="W70" s="87" t="str">
        <f t="shared" ca="1" si="72"/>
        <v/>
      </c>
      <c r="X70" s="87" t="str">
        <f t="shared" ca="1" si="72"/>
        <v/>
      </c>
      <c r="Y70" s="87" t="str">
        <f t="shared" ca="1" si="72"/>
        <v/>
      </c>
      <c r="Z70" s="87" t="str">
        <f t="shared" ca="1" si="72"/>
        <v/>
      </c>
      <c r="AA70" s="87" t="str">
        <f t="shared" ca="1" si="72"/>
        <v/>
      </c>
      <c r="AB70" s="87" t="str">
        <f t="shared" ca="1" si="72"/>
        <v/>
      </c>
      <c r="AC70" s="87" t="str">
        <f t="shared" ca="1" si="72"/>
        <v/>
      </c>
      <c r="AD70" s="87" t="str">
        <f t="shared" ca="1" si="72"/>
        <v/>
      </c>
      <c r="AE70" s="87" t="str">
        <f t="shared" ca="1" si="72"/>
        <v/>
      </c>
      <c r="AF70" s="87" t="str">
        <f t="shared" ca="1" si="72"/>
        <v/>
      </c>
    </row>
    <row r="71" spans="1:32" x14ac:dyDescent="0.25">
      <c r="A71" s="80" t="str">
        <f t="shared" si="54"/>
        <v/>
      </c>
      <c r="B71" s="81">
        <f>MIN(DOM!DT6:DV6)-G51</f>
        <v>0</v>
      </c>
      <c r="C71" s="81">
        <f ca="1">IF(MIN(DOM!DX6:DX12)&gt;0.08333,OFFSET(DOM!DX5,MATCH(MIN(DOM!DX6:DX12),DOM!DX6:DX12,0),-4),MAX(DOM!DU6:DV13))</f>
        <v>0</v>
      </c>
      <c r="D71" s="81">
        <f ca="1">IF(MIN(DOM!DX6:DX12)&gt;0.08333,OFFSET(DOM!DX5,MATCH(MIN(DOM!DX6:DX12),DOM!DX6:DX12,0),-2),MIN(DOM!DT19:DV19))</f>
        <v>0</v>
      </c>
      <c r="E71" s="81">
        <f>IF(MIN(DOM!DX6:DX12)&gt;0.08333,MAX(DOM!DU6:DV13),MAX(DOM!DU19:DV26))+G51</f>
        <v>0</v>
      </c>
      <c r="F71" s="81">
        <f t="shared" si="52"/>
        <v>0</v>
      </c>
      <c r="G71" s="81"/>
      <c r="H71" s="82"/>
      <c r="I71" s="83" t="str">
        <f t="shared" ref="I71:AF71" ca="1" si="73">IF(AND(J$1-$B71&gt;=0.0208333,$C71-I$1&gt;0.0208333),"X",IF(AND(J$1-$D71&gt;=0.0208333,$E71-I$1&gt;0.0208333),"X",IF(MROUND($C71,"01:00")=I$1,IF(J$1-$D71+$C71-I$1&gt;=0.02083,"X",""),"")))</f>
        <v/>
      </c>
      <c r="J71" s="83" t="str">
        <f t="shared" ca="1" si="73"/>
        <v/>
      </c>
      <c r="K71" s="83" t="str">
        <f t="shared" ca="1" si="73"/>
        <v/>
      </c>
      <c r="L71" s="83" t="str">
        <f t="shared" ca="1" si="73"/>
        <v/>
      </c>
      <c r="M71" s="83" t="str">
        <f t="shared" ca="1" si="73"/>
        <v/>
      </c>
      <c r="N71" s="83" t="str">
        <f t="shared" ca="1" si="73"/>
        <v/>
      </c>
      <c r="O71" s="83" t="str">
        <f t="shared" ca="1" si="73"/>
        <v/>
      </c>
      <c r="P71" s="83" t="str">
        <f t="shared" ca="1" si="73"/>
        <v/>
      </c>
      <c r="Q71" s="83" t="str">
        <f t="shared" ca="1" si="73"/>
        <v/>
      </c>
      <c r="R71" s="83" t="str">
        <f t="shared" ca="1" si="73"/>
        <v/>
      </c>
      <c r="S71" s="83" t="str">
        <f t="shared" ca="1" si="73"/>
        <v/>
      </c>
      <c r="T71" s="83" t="str">
        <f t="shared" ca="1" si="73"/>
        <v/>
      </c>
      <c r="U71" s="83" t="str">
        <f t="shared" ca="1" si="73"/>
        <v/>
      </c>
      <c r="V71" s="83" t="str">
        <f t="shared" ca="1" si="73"/>
        <v/>
      </c>
      <c r="W71" s="83" t="str">
        <f t="shared" ca="1" si="73"/>
        <v/>
      </c>
      <c r="X71" s="83" t="str">
        <f t="shared" ca="1" si="73"/>
        <v/>
      </c>
      <c r="Y71" s="83" t="str">
        <f t="shared" ca="1" si="73"/>
        <v/>
      </c>
      <c r="Z71" s="83" t="str">
        <f t="shared" ca="1" si="73"/>
        <v/>
      </c>
      <c r="AA71" s="83" t="str">
        <f t="shared" ca="1" si="73"/>
        <v/>
      </c>
      <c r="AB71" s="83" t="str">
        <f t="shared" ca="1" si="73"/>
        <v/>
      </c>
      <c r="AC71" s="83" t="str">
        <f t="shared" ca="1" si="73"/>
        <v/>
      </c>
      <c r="AD71" s="83" t="str">
        <f t="shared" ca="1" si="73"/>
        <v/>
      </c>
      <c r="AE71" s="83" t="str">
        <f t="shared" ca="1" si="73"/>
        <v/>
      </c>
      <c r="AF71" s="83" t="str">
        <f t="shared" ca="1" si="73"/>
        <v/>
      </c>
    </row>
    <row r="72" spans="1:32" x14ac:dyDescent="0.25">
      <c r="A72" s="84" t="str">
        <f t="shared" si="54"/>
        <v/>
      </c>
      <c r="B72" s="85">
        <f>MIN(DOM!DZ6:EB6)-G51</f>
        <v>0</v>
      </c>
      <c r="C72" s="85">
        <f ca="1">IF(MIN(DOM!ED6:ED12)&gt;0.08333,OFFSET(DOM!ED5,MATCH(MIN(DOM!ED6:ED12),DOM!ED6:ED12,0),-4),MAX(DOM!EA6:EB13))</f>
        <v>0</v>
      </c>
      <c r="D72" s="85">
        <f ca="1">IF(MIN(DOM!ED6:ED12)&gt;0.08333,OFFSET(DOM!ED5,MATCH(MIN(DOM!ED6:ED12),DOM!ED6:ED12,0),-2),MIN(DOM!DZ19:EB19))</f>
        <v>0</v>
      </c>
      <c r="E72" s="85">
        <f>IF(MIN(DOM!ED6:ED12)&gt;0.08333,MAX(DOM!EA6:EB13),MAX(DOM!EA19:EB26))+G51</f>
        <v>0</v>
      </c>
      <c r="F72" s="85">
        <f t="shared" si="52"/>
        <v>0</v>
      </c>
      <c r="G72" s="85"/>
      <c r="H72" s="86"/>
      <c r="I72" s="87" t="str">
        <f t="shared" ref="I72:AF72" ca="1" si="74">IF(AND(J$1-$B72&gt;=0.0208333,$C72-I$1&gt;0.0208333),"X",IF(AND(J$1-$D72&gt;=0.0208333,$E72-I$1&gt;0.0208333),"X",IF(MROUND($C72,"01:00")=I$1,IF(J$1-$D72+$C72-I$1&gt;=0.02083,"X",""),"")))</f>
        <v/>
      </c>
      <c r="J72" s="87" t="str">
        <f t="shared" ca="1" si="74"/>
        <v/>
      </c>
      <c r="K72" s="87" t="str">
        <f t="shared" ca="1" si="74"/>
        <v/>
      </c>
      <c r="L72" s="87" t="str">
        <f t="shared" ca="1" si="74"/>
        <v/>
      </c>
      <c r="M72" s="87" t="str">
        <f t="shared" ca="1" si="74"/>
        <v/>
      </c>
      <c r="N72" s="87" t="str">
        <f t="shared" ca="1" si="74"/>
        <v/>
      </c>
      <c r="O72" s="87" t="str">
        <f t="shared" ca="1" si="74"/>
        <v/>
      </c>
      <c r="P72" s="87" t="str">
        <f t="shared" ca="1" si="74"/>
        <v/>
      </c>
      <c r="Q72" s="87" t="str">
        <f t="shared" ca="1" si="74"/>
        <v/>
      </c>
      <c r="R72" s="87" t="str">
        <f t="shared" ca="1" si="74"/>
        <v/>
      </c>
      <c r="S72" s="87" t="str">
        <f t="shared" ca="1" si="74"/>
        <v/>
      </c>
      <c r="T72" s="87" t="str">
        <f t="shared" ca="1" si="74"/>
        <v/>
      </c>
      <c r="U72" s="87" t="str">
        <f t="shared" ca="1" si="74"/>
        <v/>
      </c>
      <c r="V72" s="87" t="str">
        <f t="shared" ca="1" si="74"/>
        <v/>
      </c>
      <c r="W72" s="87" t="str">
        <f t="shared" ca="1" si="74"/>
        <v/>
      </c>
      <c r="X72" s="87" t="str">
        <f t="shared" ca="1" si="74"/>
        <v/>
      </c>
      <c r="Y72" s="87" t="str">
        <f t="shared" ca="1" si="74"/>
        <v/>
      </c>
      <c r="Z72" s="87" t="str">
        <f t="shared" ca="1" si="74"/>
        <v/>
      </c>
      <c r="AA72" s="87" t="str">
        <f t="shared" ca="1" si="74"/>
        <v/>
      </c>
      <c r="AB72" s="87" t="str">
        <f t="shared" ca="1" si="74"/>
        <v/>
      </c>
      <c r="AC72" s="87" t="str">
        <f t="shared" ca="1" si="74"/>
        <v/>
      </c>
      <c r="AD72" s="87" t="str">
        <f t="shared" ca="1" si="74"/>
        <v/>
      </c>
      <c r="AE72" s="87" t="str">
        <f t="shared" ca="1" si="74"/>
        <v/>
      </c>
      <c r="AF72" s="87" t="str">
        <f t="shared" ca="1" si="74"/>
        <v/>
      </c>
    </row>
    <row r="73" spans="1:32" x14ac:dyDescent="0.25">
      <c r="E73" s="73"/>
    </row>
  </sheetData>
  <mergeCells count="5">
    <mergeCell ref="G1:G2"/>
    <mergeCell ref="F1:F2"/>
    <mergeCell ref="A1:A2"/>
    <mergeCell ref="B1:C1"/>
    <mergeCell ref="D1:E1"/>
  </mergeCells>
  <conditionalFormatting sqref="O2">
    <cfRule type="expression" dxfId="5" priority="18">
      <formula>O2&lt;MAX($A$3:$A$72)</formula>
    </cfRule>
  </conditionalFormatting>
  <conditionalFormatting sqref="P2">
    <cfRule type="expression" dxfId="4" priority="5">
      <formula>P2&lt;MAX($A$3:$A$72)</formula>
    </cfRule>
  </conditionalFormatting>
  <conditionalFormatting sqref="Q2">
    <cfRule type="expression" dxfId="3" priority="4">
      <formula>Q2&lt;MAX($A$3:$A$72)</formula>
    </cfRule>
  </conditionalFormatting>
  <conditionalFormatting sqref="Y2">
    <cfRule type="expression" dxfId="2" priority="3">
      <formula>Y2&lt;MAX($A$3:$A$72)</formula>
    </cfRule>
  </conditionalFormatting>
  <conditionalFormatting sqref="Z2">
    <cfRule type="expression" dxfId="1" priority="2">
      <formula>Z2&lt;MAX($A$3:$A$72)</formula>
    </cfRule>
  </conditionalFormatting>
  <conditionalFormatting sqref="AA2">
    <cfRule type="expression" dxfId="0" priority="1">
      <formula>AA2&lt;MAX($A$3:$A$72)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5497B-F648-4B1B-97FC-D3E4F19F293E}">
  <dimension ref="A1:R199"/>
  <sheetViews>
    <sheetView zoomScale="85" zoomScaleNormal="85" workbookViewId="0">
      <pane ySplit="1" topLeftCell="A2" activePane="bottomLeft" state="frozen"/>
      <selection activeCell="F70" sqref="F70"/>
      <selection pane="bottomLeft" activeCell="F70" sqref="F70"/>
    </sheetView>
  </sheetViews>
  <sheetFormatPr defaultRowHeight="20.100000000000001" customHeight="1" x14ac:dyDescent="0.25"/>
  <cols>
    <col min="1" max="1" width="7" style="17" customWidth="1"/>
    <col min="2" max="2" width="20.5703125" style="17" customWidth="1"/>
    <col min="3" max="3" width="29.85546875" style="17" customWidth="1"/>
    <col min="4" max="4" width="9.42578125" style="17" customWidth="1"/>
    <col min="5" max="5" width="11" style="17" customWidth="1"/>
    <col min="6" max="6" width="5.140625" style="17" customWidth="1"/>
    <col min="7" max="7" width="12.5703125" style="17" bestFit="1" customWidth="1"/>
    <col min="8" max="8" width="5" style="17" customWidth="1"/>
    <col min="9" max="9" width="9.140625" style="17"/>
    <col min="10" max="10" width="30" style="17" bestFit="1" customWidth="1"/>
    <col min="11" max="11" width="10.28515625" style="17" bestFit="1" customWidth="1"/>
    <col min="12" max="12" width="30" style="17" bestFit="1" customWidth="1"/>
    <col min="13" max="13" width="9.140625" style="17"/>
    <col min="14" max="14" width="5" customWidth="1"/>
    <col min="15" max="15" width="8.140625" style="17" customWidth="1"/>
    <col min="16" max="16" width="29.28515625" style="17" customWidth="1"/>
    <col min="17" max="18" width="29.85546875" customWidth="1"/>
    <col min="19" max="19" width="9.28515625" style="17" customWidth="1"/>
    <col min="20" max="20" width="16" style="17" bestFit="1" customWidth="1"/>
    <col min="21" max="25" width="9.28515625" style="17" customWidth="1"/>
    <col min="26" max="16384" width="9.140625" style="17"/>
  </cols>
  <sheetData>
    <row r="1" spans="1:18" s="27" customFormat="1" ht="29.25" customHeight="1" x14ac:dyDescent="0.25">
      <c r="A1" s="127" t="s">
        <v>175</v>
      </c>
      <c r="B1" s="105" t="s">
        <v>139</v>
      </c>
      <c r="C1" s="105" t="s">
        <v>140</v>
      </c>
      <c r="D1" s="105" t="s">
        <v>141</v>
      </c>
      <c r="E1" s="105" t="s">
        <v>142</v>
      </c>
      <c r="F1" s="26"/>
      <c r="G1" s="117" t="s">
        <v>233</v>
      </c>
      <c r="I1" s="117" t="s">
        <v>138</v>
      </c>
      <c r="J1" s="120" t="s">
        <v>234</v>
      </c>
      <c r="K1" s="120"/>
      <c r="L1" s="120" t="s">
        <v>235</v>
      </c>
      <c r="M1" s="120"/>
      <c r="N1"/>
      <c r="O1" s="108" t="s">
        <v>138</v>
      </c>
      <c r="P1" s="109" t="s">
        <v>232</v>
      </c>
      <c r="Q1" s="114" t="s">
        <v>13</v>
      </c>
      <c r="R1" s="109" t="s">
        <v>17</v>
      </c>
    </row>
    <row r="2" spans="1:18" ht="20.100000000000001" customHeight="1" x14ac:dyDescent="0.25">
      <c r="A2" s="100">
        <v>1</v>
      </c>
      <c r="B2" s="100" t="s">
        <v>143</v>
      </c>
      <c r="C2" s="128" t="s">
        <v>144</v>
      </c>
      <c r="D2" s="100">
        <v>2528</v>
      </c>
      <c r="E2" s="100" t="s">
        <v>145</v>
      </c>
      <c r="F2" s="101"/>
      <c r="G2" s="119" t="s">
        <v>238</v>
      </c>
      <c r="I2" s="119"/>
      <c r="J2" s="121" t="s">
        <v>236</v>
      </c>
      <c r="K2" s="121" t="s">
        <v>233</v>
      </c>
      <c r="L2" s="123" t="s">
        <v>236</v>
      </c>
      <c r="M2" s="123" t="s">
        <v>233</v>
      </c>
      <c r="O2" s="110" t="s">
        <v>188</v>
      </c>
      <c r="P2" s="111">
        <f>J3</f>
        <v>0</v>
      </c>
      <c r="Q2" s="110">
        <f>IFERROR(VLOOKUP('CSV IDA'!A2,Procv!$O$2:$P$89,2,0),0)</f>
        <v>0</v>
      </c>
      <c r="R2" s="115">
        <f>IFERROR(VLOOKUP('CSV VOLTA'!A2,Procv!$O$2:$P$89,2,0),0)</f>
        <v>0</v>
      </c>
    </row>
    <row r="3" spans="1:18" ht="20.100000000000001" customHeight="1" x14ac:dyDescent="0.25">
      <c r="A3" s="100">
        <v>2</v>
      </c>
      <c r="B3" s="100" t="s">
        <v>146</v>
      </c>
      <c r="C3" s="128" t="s">
        <v>176</v>
      </c>
      <c r="D3" s="100">
        <v>2531</v>
      </c>
      <c r="E3" s="100" t="s">
        <v>147</v>
      </c>
      <c r="F3" s="101"/>
      <c r="G3" s="119" t="s">
        <v>239</v>
      </c>
      <c r="I3" s="118">
        <v>1</v>
      </c>
      <c r="J3" s="122"/>
      <c r="K3" s="122"/>
      <c r="L3" s="124"/>
      <c r="M3" s="124"/>
      <c r="O3" s="110" t="s">
        <v>189</v>
      </c>
      <c r="P3" s="111">
        <f t="shared" ref="P3:P23" si="0">J4</f>
        <v>0</v>
      </c>
      <c r="Q3" s="110">
        <f>IFERROR(VLOOKUP('CSV IDA'!A3,Procv!$O$2:$P$89,2,0),0)</f>
        <v>0</v>
      </c>
      <c r="R3" s="115">
        <f>IFERROR(VLOOKUP('CSV VOLTA'!A3,Procv!$O$2:$P$89,2,0),0)</f>
        <v>0</v>
      </c>
    </row>
    <row r="4" spans="1:18" ht="20.100000000000001" customHeight="1" x14ac:dyDescent="0.25">
      <c r="A4" s="100">
        <v>3</v>
      </c>
      <c r="B4" s="100" t="s">
        <v>148</v>
      </c>
      <c r="C4" s="128" t="s">
        <v>177</v>
      </c>
      <c r="D4" s="100">
        <v>2530</v>
      </c>
      <c r="E4" s="100" t="s">
        <v>149</v>
      </c>
      <c r="F4" s="101"/>
      <c r="G4" s="119" t="s">
        <v>240</v>
      </c>
      <c r="I4" s="118">
        <v>2</v>
      </c>
      <c r="J4" s="125">
        <f>J3</f>
        <v>0</v>
      </c>
      <c r="K4" s="125">
        <f>K3</f>
        <v>0</v>
      </c>
      <c r="L4" s="126">
        <f>L3</f>
        <v>0</v>
      </c>
      <c r="M4" s="126">
        <f>M3</f>
        <v>0</v>
      </c>
      <c r="O4" s="110" t="s">
        <v>190</v>
      </c>
      <c r="P4" s="111">
        <f t="shared" si="0"/>
        <v>0</v>
      </c>
      <c r="Q4" s="110">
        <f>IFERROR(VLOOKUP('CSV IDA'!A4,Procv!$O$2:$P$89,2,0),0)</f>
        <v>0</v>
      </c>
      <c r="R4" s="115">
        <f>IFERROR(VLOOKUP('CSV VOLTA'!A4,Procv!$O$2:$P$89,2,0),0)</f>
        <v>0</v>
      </c>
    </row>
    <row r="5" spans="1:18" ht="20.100000000000001" customHeight="1" x14ac:dyDescent="0.25">
      <c r="A5" s="100">
        <v>4</v>
      </c>
      <c r="B5" s="100" t="s">
        <v>146</v>
      </c>
      <c r="C5" s="128" t="s">
        <v>178</v>
      </c>
      <c r="D5" s="100">
        <v>2524</v>
      </c>
      <c r="E5" s="100" t="s">
        <v>150</v>
      </c>
      <c r="F5" s="101"/>
      <c r="G5" s="119" t="s">
        <v>237</v>
      </c>
      <c r="I5" s="118">
        <v>3</v>
      </c>
      <c r="J5" s="122">
        <f t="shared" ref="J5:J24" si="1">J4</f>
        <v>0</v>
      </c>
      <c r="K5" s="122">
        <f t="shared" ref="K5:K24" si="2">K4</f>
        <v>0</v>
      </c>
      <c r="L5" s="124">
        <f t="shared" ref="L5:L24" si="3">L4</f>
        <v>0</v>
      </c>
      <c r="M5" s="124">
        <f t="shared" ref="M5:M24" si="4">M4</f>
        <v>0</v>
      </c>
      <c r="O5" s="110" t="s">
        <v>191</v>
      </c>
      <c r="P5" s="111">
        <f t="shared" si="0"/>
        <v>0</v>
      </c>
      <c r="Q5" s="110">
        <f>IFERROR(VLOOKUP('CSV IDA'!A5,Procv!$O$2:$P$89,2,0),0)</f>
        <v>0</v>
      </c>
      <c r="R5" s="115">
        <f>IFERROR(VLOOKUP('CSV VOLTA'!A5,Procv!$O$2:$P$89,2,0),0)</f>
        <v>0</v>
      </c>
    </row>
    <row r="6" spans="1:18" ht="20.100000000000001" customHeight="1" x14ac:dyDescent="0.25">
      <c r="A6" s="100">
        <v>5</v>
      </c>
      <c r="B6" s="100" t="s">
        <v>146</v>
      </c>
      <c r="C6" s="128" t="s">
        <v>179</v>
      </c>
      <c r="D6" s="100">
        <v>2532</v>
      </c>
      <c r="E6" s="100" t="s">
        <v>151</v>
      </c>
      <c r="F6" s="101"/>
      <c r="G6" s="119" t="s">
        <v>241</v>
      </c>
      <c r="I6" s="118">
        <v>4</v>
      </c>
      <c r="J6" s="125">
        <f t="shared" si="1"/>
        <v>0</v>
      </c>
      <c r="K6" s="125">
        <f t="shared" si="2"/>
        <v>0</v>
      </c>
      <c r="L6" s="126">
        <f t="shared" si="3"/>
        <v>0</v>
      </c>
      <c r="M6" s="126">
        <f t="shared" si="4"/>
        <v>0</v>
      </c>
      <c r="O6" s="110" t="s">
        <v>192</v>
      </c>
      <c r="P6" s="111">
        <f t="shared" si="0"/>
        <v>0</v>
      </c>
      <c r="Q6" s="110">
        <f>IFERROR(VLOOKUP('CSV IDA'!A6,Procv!$O$2:$P$89,2,0),0)</f>
        <v>0</v>
      </c>
      <c r="R6" s="115">
        <f>IFERROR(VLOOKUP('CSV VOLTA'!A6,Procv!$O$2:$P$89,2,0),0)</f>
        <v>0</v>
      </c>
    </row>
    <row r="7" spans="1:18" ht="20.100000000000001" customHeight="1" x14ac:dyDescent="0.25">
      <c r="A7" s="100">
        <v>6</v>
      </c>
      <c r="B7" s="100" t="s">
        <v>146</v>
      </c>
      <c r="C7" s="128" t="s">
        <v>137</v>
      </c>
      <c r="D7" s="100">
        <v>2523</v>
      </c>
      <c r="E7" s="100" t="s">
        <v>152</v>
      </c>
      <c r="F7" s="101"/>
      <c r="G7" s="119" t="s">
        <v>242</v>
      </c>
      <c r="I7" s="118">
        <v>5</v>
      </c>
      <c r="J7" s="122">
        <f t="shared" si="1"/>
        <v>0</v>
      </c>
      <c r="K7" s="122">
        <f t="shared" si="2"/>
        <v>0</v>
      </c>
      <c r="L7" s="124">
        <f t="shared" si="3"/>
        <v>0</v>
      </c>
      <c r="M7" s="124">
        <f t="shared" si="4"/>
        <v>0</v>
      </c>
      <c r="O7" s="110" t="s">
        <v>193</v>
      </c>
      <c r="P7" s="111">
        <f t="shared" si="0"/>
        <v>0</v>
      </c>
      <c r="Q7" s="110">
        <f>IFERROR(VLOOKUP('CSV IDA'!A7,Procv!$O$2:$P$89,2,0),0)</f>
        <v>0</v>
      </c>
      <c r="R7" s="115">
        <f>IFERROR(VLOOKUP('CSV VOLTA'!A7,Procv!$O$2:$P$89,2,0),0)</f>
        <v>0</v>
      </c>
    </row>
    <row r="8" spans="1:18" ht="20.100000000000001" customHeight="1" x14ac:dyDescent="0.25">
      <c r="A8" s="100">
        <v>7</v>
      </c>
      <c r="B8" s="100" t="s">
        <v>146</v>
      </c>
      <c r="C8" s="128" t="s">
        <v>180</v>
      </c>
      <c r="D8" s="100">
        <v>2540</v>
      </c>
      <c r="E8" s="100" t="s">
        <v>153</v>
      </c>
      <c r="F8" s="101"/>
      <c r="G8" s="119" t="s">
        <v>243</v>
      </c>
      <c r="I8" s="118">
        <v>6</v>
      </c>
      <c r="J8" s="125">
        <f t="shared" si="1"/>
        <v>0</v>
      </c>
      <c r="K8" s="125">
        <f t="shared" si="2"/>
        <v>0</v>
      </c>
      <c r="L8" s="126">
        <f t="shared" si="3"/>
        <v>0</v>
      </c>
      <c r="M8" s="126">
        <f t="shared" si="4"/>
        <v>0</v>
      </c>
      <c r="O8" s="110" t="s">
        <v>194</v>
      </c>
      <c r="P8" s="111">
        <f t="shared" si="0"/>
        <v>0</v>
      </c>
      <c r="Q8" s="110">
        <f>IFERROR(VLOOKUP('CSV IDA'!A8,Procv!$O$2:$P$89,2,0),0)</f>
        <v>0</v>
      </c>
      <c r="R8" s="115">
        <f>IFERROR(VLOOKUP('CSV VOLTA'!A8,Procv!$O$2:$P$89,2,0),0)</f>
        <v>0</v>
      </c>
    </row>
    <row r="9" spans="1:18" ht="20.100000000000001" customHeight="1" x14ac:dyDescent="0.25">
      <c r="A9" s="100">
        <v>8</v>
      </c>
      <c r="B9" s="100" t="s">
        <v>146</v>
      </c>
      <c r="C9" s="128" t="s">
        <v>181</v>
      </c>
      <c r="D9" s="100">
        <v>2539</v>
      </c>
      <c r="E9" s="100" t="s">
        <v>154</v>
      </c>
      <c r="F9" s="101"/>
      <c r="G9" s="101"/>
      <c r="I9" s="118">
        <v>7</v>
      </c>
      <c r="J9" s="122">
        <f t="shared" si="1"/>
        <v>0</v>
      </c>
      <c r="K9" s="122">
        <f t="shared" si="2"/>
        <v>0</v>
      </c>
      <c r="L9" s="124">
        <f t="shared" si="3"/>
        <v>0</v>
      </c>
      <c r="M9" s="124">
        <f t="shared" si="4"/>
        <v>0</v>
      </c>
      <c r="O9" s="110" t="s">
        <v>195</v>
      </c>
      <c r="P9" s="111">
        <f t="shared" si="0"/>
        <v>0</v>
      </c>
      <c r="Q9" s="110">
        <f>IFERROR(VLOOKUP('CSV IDA'!A9,Procv!$O$2:$P$89,2,0),0)</f>
        <v>0</v>
      </c>
      <c r="R9" s="115">
        <f>IFERROR(VLOOKUP('CSV VOLTA'!A9,Procv!$O$2:$P$89,2,0),0)</f>
        <v>0</v>
      </c>
    </row>
    <row r="10" spans="1:18" ht="20.100000000000001" customHeight="1" x14ac:dyDescent="0.25">
      <c r="A10" s="100">
        <v>9</v>
      </c>
      <c r="B10" s="100" t="s">
        <v>146</v>
      </c>
      <c r="C10" s="128" t="s">
        <v>155</v>
      </c>
      <c r="D10" s="100">
        <v>2534</v>
      </c>
      <c r="E10" s="100" t="s">
        <v>156</v>
      </c>
      <c r="F10" s="101"/>
      <c r="G10" s="101"/>
      <c r="I10" s="118">
        <v>8</v>
      </c>
      <c r="J10" s="125">
        <f t="shared" si="1"/>
        <v>0</v>
      </c>
      <c r="K10" s="125">
        <f t="shared" si="2"/>
        <v>0</v>
      </c>
      <c r="L10" s="126">
        <f t="shared" si="3"/>
        <v>0</v>
      </c>
      <c r="M10" s="126">
        <f t="shared" si="4"/>
        <v>0</v>
      </c>
      <c r="O10" s="110" t="s">
        <v>196</v>
      </c>
      <c r="P10" s="111">
        <f t="shared" si="0"/>
        <v>0</v>
      </c>
      <c r="Q10" s="110">
        <f>IFERROR(VLOOKUP('CSV IDA'!A10,Procv!$O$2:$P$89,2,0),0)</f>
        <v>0</v>
      </c>
      <c r="R10" s="115">
        <f>IFERROR(VLOOKUP('CSV VOLTA'!A10,Procv!$O$2:$P$89,2,0),0)</f>
        <v>0</v>
      </c>
    </row>
    <row r="11" spans="1:18" ht="20.100000000000001" customHeight="1" x14ac:dyDescent="0.25">
      <c r="A11" s="100">
        <v>10</v>
      </c>
      <c r="B11" s="100" t="s">
        <v>146</v>
      </c>
      <c r="C11" s="128" t="s">
        <v>182</v>
      </c>
      <c r="D11" s="100">
        <v>2536</v>
      </c>
      <c r="E11" s="100" t="s">
        <v>187</v>
      </c>
      <c r="F11" s="101"/>
      <c r="G11" s="101"/>
      <c r="I11" s="118">
        <v>9</v>
      </c>
      <c r="J11" s="122">
        <f t="shared" si="1"/>
        <v>0</v>
      </c>
      <c r="K11" s="122">
        <f t="shared" si="2"/>
        <v>0</v>
      </c>
      <c r="L11" s="124">
        <f t="shared" si="3"/>
        <v>0</v>
      </c>
      <c r="M11" s="124">
        <f t="shared" si="4"/>
        <v>0</v>
      </c>
      <c r="O11" s="110" t="s">
        <v>197</v>
      </c>
      <c r="P11" s="111">
        <f t="shared" si="0"/>
        <v>0</v>
      </c>
      <c r="Q11" s="110">
        <f>IFERROR(VLOOKUP('CSV IDA'!A11,Procv!$O$2:$P$89,2,0),0)</f>
        <v>0</v>
      </c>
      <c r="R11" s="115">
        <f>IFERROR(VLOOKUP('CSV VOLTA'!A11,Procv!$O$2:$P$89,2,0),0)</f>
        <v>0</v>
      </c>
    </row>
    <row r="12" spans="1:18" ht="20.100000000000001" customHeight="1" x14ac:dyDescent="0.25">
      <c r="A12" s="100">
        <v>11</v>
      </c>
      <c r="B12" s="100" t="s">
        <v>157</v>
      </c>
      <c r="C12" s="128" t="s">
        <v>158</v>
      </c>
      <c r="D12" s="100">
        <v>2522</v>
      </c>
      <c r="E12" s="100" t="s">
        <v>159</v>
      </c>
      <c r="F12" s="101"/>
      <c r="G12" s="101"/>
      <c r="I12" s="118">
        <v>10</v>
      </c>
      <c r="J12" s="125">
        <f t="shared" si="1"/>
        <v>0</v>
      </c>
      <c r="K12" s="125">
        <f t="shared" si="2"/>
        <v>0</v>
      </c>
      <c r="L12" s="126">
        <f t="shared" si="3"/>
        <v>0</v>
      </c>
      <c r="M12" s="126">
        <f t="shared" si="4"/>
        <v>0</v>
      </c>
      <c r="O12" s="110" t="s">
        <v>198</v>
      </c>
      <c r="P12" s="111">
        <f t="shared" si="0"/>
        <v>0</v>
      </c>
      <c r="Q12" s="110">
        <f>IFERROR(VLOOKUP('CSV IDA'!A12,Procv!$O$2:$P$89,2,0),0)</f>
        <v>0</v>
      </c>
      <c r="R12" s="115">
        <f>IFERROR(VLOOKUP('CSV VOLTA'!A12,Procv!$O$2:$P$89,2,0),0)</f>
        <v>0</v>
      </c>
    </row>
    <row r="13" spans="1:18" ht="20.100000000000001" customHeight="1" x14ac:dyDescent="0.25">
      <c r="A13" s="100">
        <v>12</v>
      </c>
      <c r="B13" s="100" t="s">
        <v>146</v>
      </c>
      <c r="C13" s="128" t="s">
        <v>183</v>
      </c>
      <c r="D13" s="100">
        <v>2533</v>
      </c>
      <c r="E13" s="100" t="s">
        <v>160</v>
      </c>
      <c r="F13" s="101"/>
      <c r="G13" s="101"/>
      <c r="I13" s="118">
        <v>11</v>
      </c>
      <c r="J13" s="122">
        <f t="shared" si="1"/>
        <v>0</v>
      </c>
      <c r="K13" s="122">
        <f t="shared" si="2"/>
        <v>0</v>
      </c>
      <c r="L13" s="124">
        <f t="shared" si="3"/>
        <v>0</v>
      </c>
      <c r="M13" s="124">
        <f t="shared" si="4"/>
        <v>0</v>
      </c>
      <c r="O13" s="110" t="s">
        <v>199</v>
      </c>
      <c r="P13" s="111">
        <f t="shared" si="0"/>
        <v>0</v>
      </c>
      <c r="Q13" s="110">
        <f>IFERROR(VLOOKUP('CSV IDA'!A13,Procv!$O$2:$P$89,2,0),0)</f>
        <v>0</v>
      </c>
      <c r="R13" s="115">
        <f>IFERROR(VLOOKUP('CSV VOLTA'!A13,Procv!$O$2:$P$89,2,0),0)</f>
        <v>0</v>
      </c>
    </row>
    <row r="14" spans="1:18" ht="20.100000000000001" customHeight="1" x14ac:dyDescent="0.25">
      <c r="A14" s="100">
        <v>13</v>
      </c>
      <c r="B14" s="100" t="s">
        <v>157</v>
      </c>
      <c r="C14" s="128" t="s">
        <v>184</v>
      </c>
      <c r="D14" s="100">
        <v>2535</v>
      </c>
      <c r="E14" s="100" t="s">
        <v>161</v>
      </c>
      <c r="F14" s="101"/>
      <c r="G14" s="101"/>
      <c r="I14" s="118">
        <v>12</v>
      </c>
      <c r="J14" s="125">
        <f t="shared" si="1"/>
        <v>0</v>
      </c>
      <c r="K14" s="125">
        <f t="shared" si="2"/>
        <v>0</v>
      </c>
      <c r="L14" s="126">
        <f t="shared" si="3"/>
        <v>0</v>
      </c>
      <c r="M14" s="126">
        <f t="shared" si="4"/>
        <v>0</v>
      </c>
      <c r="O14" s="110" t="s">
        <v>200</v>
      </c>
      <c r="P14" s="111">
        <f t="shared" si="0"/>
        <v>0</v>
      </c>
      <c r="Q14" s="110">
        <f>IFERROR(VLOOKUP('CSV IDA'!A14,Procv!$O$2:$P$89,2,0),0)</f>
        <v>0</v>
      </c>
      <c r="R14" s="115">
        <f>IFERROR(VLOOKUP('CSV VOLTA'!A14,Procv!$O$2:$P$89,2,0),0)</f>
        <v>0</v>
      </c>
    </row>
    <row r="15" spans="1:18" ht="20.100000000000001" customHeight="1" x14ac:dyDescent="0.25">
      <c r="A15" s="100">
        <v>14</v>
      </c>
      <c r="B15" s="100" t="s">
        <v>146</v>
      </c>
      <c r="C15" s="128" t="s">
        <v>162</v>
      </c>
      <c r="D15" s="100">
        <v>2529</v>
      </c>
      <c r="E15" s="100" t="s">
        <v>163</v>
      </c>
      <c r="F15" s="101"/>
      <c r="G15" s="101"/>
      <c r="I15" s="118">
        <v>13</v>
      </c>
      <c r="J15" s="122">
        <f t="shared" si="1"/>
        <v>0</v>
      </c>
      <c r="K15" s="122">
        <f t="shared" si="2"/>
        <v>0</v>
      </c>
      <c r="L15" s="124">
        <f t="shared" si="3"/>
        <v>0</v>
      </c>
      <c r="M15" s="124">
        <f t="shared" si="4"/>
        <v>0</v>
      </c>
      <c r="O15" s="110" t="s">
        <v>201</v>
      </c>
      <c r="P15" s="111">
        <f t="shared" si="0"/>
        <v>0</v>
      </c>
      <c r="Q15" s="110">
        <f>IFERROR(VLOOKUP('CSV IDA'!A15,Procv!$O$2:$P$89,2,0),0)</f>
        <v>0</v>
      </c>
      <c r="R15" s="115">
        <f>IFERROR(VLOOKUP('CSV VOLTA'!A15,Procv!$O$2:$P$89,2,0),0)</f>
        <v>0</v>
      </c>
    </row>
    <row r="16" spans="1:18" ht="20.100000000000001" customHeight="1" x14ac:dyDescent="0.25">
      <c r="A16" s="100">
        <v>15</v>
      </c>
      <c r="B16" s="100" t="s">
        <v>164</v>
      </c>
      <c r="C16" s="128" t="s">
        <v>185</v>
      </c>
      <c r="D16" s="100">
        <v>2521</v>
      </c>
      <c r="E16" s="100" t="s">
        <v>165</v>
      </c>
      <c r="F16" s="101"/>
      <c r="G16" s="101"/>
      <c r="I16" s="118">
        <v>14</v>
      </c>
      <c r="J16" s="125">
        <f t="shared" si="1"/>
        <v>0</v>
      </c>
      <c r="K16" s="125">
        <f t="shared" si="2"/>
        <v>0</v>
      </c>
      <c r="L16" s="126">
        <f t="shared" si="3"/>
        <v>0</v>
      </c>
      <c r="M16" s="126">
        <f t="shared" si="4"/>
        <v>0</v>
      </c>
      <c r="O16" s="110" t="s">
        <v>202</v>
      </c>
      <c r="P16" s="111">
        <f t="shared" si="0"/>
        <v>0</v>
      </c>
      <c r="Q16" s="110">
        <f>IFERROR(VLOOKUP('CSV IDA'!A16,Procv!$O$2:$P$89,2,0),0)</f>
        <v>0</v>
      </c>
      <c r="R16" s="115">
        <f>IFERROR(VLOOKUP('CSV VOLTA'!A16,Procv!$O$2:$P$89,2,0),0)</f>
        <v>0</v>
      </c>
    </row>
    <row r="17" spans="1:18" ht="20.100000000000001" customHeight="1" x14ac:dyDescent="0.25">
      <c r="A17" s="100">
        <v>16</v>
      </c>
      <c r="B17" s="100" t="s">
        <v>146</v>
      </c>
      <c r="C17" s="128" t="s">
        <v>166</v>
      </c>
      <c r="D17" s="100">
        <v>2541</v>
      </c>
      <c r="E17" s="100" t="s">
        <v>167</v>
      </c>
      <c r="F17" s="101"/>
      <c r="G17" s="101"/>
      <c r="I17" s="118">
        <v>15</v>
      </c>
      <c r="J17" s="122">
        <f t="shared" si="1"/>
        <v>0</v>
      </c>
      <c r="K17" s="122">
        <f t="shared" si="2"/>
        <v>0</v>
      </c>
      <c r="L17" s="124">
        <f t="shared" si="3"/>
        <v>0</v>
      </c>
      <c r="M17" s="124">
        <f t="shared" si="4"/>
        <v>0</v>
      </c>
      <c r="O17" s="110" t="s">
        <v>203</v>
      </c>
      <c r="P17" s="111">
        <f t="shared" si="0"/>
        <v>0</v>
      </c>
      <c r="Q17" s="110">
        <f>IFERROR(VLOOKUP('CSV IDA'!A17,Procv!$O$2:$P$89,2,0),0)</f>
        <v>0</v>
      </c>
      <c r="R17" s="115">
        <f>IFERROR(VLOOKUP('CSV VOLTA'!A17,Procv!$O$2:$P$89,2,0),0)</f>
        <v>0</v>
      </c>
    </row>
    <row r="18" spans="1:18" ht="20.100000000000001" customHeight="1" x14ac:dyDescent="0.25">
      <c r="A18" s="100">
        <v>17</v>
      </c>
      <c r="B18" s="100" t="s">
        <v>164</v>
      </c>
      <c r="C18" s="128" t="s">
        <v>168</v>
      </c>
      <c r="D18" s="100">
        <v>2526</v>
      </c>
      <c r="E18" s="100" t="s">
        <v>169</v>
      </c>
      <c r="F18" s="101"/>
      <c r="G18" s="101"/>
      <c r="I18" s="118">
        <v>16</v>
      </c>
      <c r="J18" s="125">
        <f t="shared" si="1"/>
        <v>0</v>
      </c>
      <c r="K18" s="125">
        <f t="shared" si="2"/>
        <v>0</v>
      </c>
      <c r="L18" s="126">
        <f t="shared" si="3"/>
        <v>0</v>
      </c>
      <c r="M18" s="126">
        <f t="shared" si="4"/>
        <v>0</v>
      </c>
      <c r="O18" s="110" t="s">
        <v>204</v>
      </c>
      <c r="P18" s="111">
        <f t="shared" si="0"/>
        <v>0</v>
      </c>
      <c r="Q18" s="110">
        <f>IFERROR(VLOOKUP('CSV IDA'!A18,Procv!$O$2:$P$89,2,0),0)</f>
        <v>0</v>
      </c>
      <c r="R18" s="115">
        <f>IFERROR(VLOOKUP('CSV VOLTA'!A18,Procv!$O$2:$P$89,2,0),0)</f>
        <v>0</v>
      </c>
    </row>
    <row r="19" spans="1:18" ht="20.100000000000001" customHeight="1" x14ac:dyDescent="0.25">
      <c r="A19" s="100">
        <v>18</v>
      </c>
      <c r="B19" s="100" t="s">
        <v>146</v>
      </c>
      <c r="C19" s="128" t="s">
        <v>170</v>
      </c>
      <c r="D19" s="100">
        <v>2527</v>
      </c>
      <c r="E19" s="100" t="s">
        <v>171</v>
      </c>
      <c r="F19" s="101"/>
      <c r="G19" s="101"/>
      <c r="I19" s="118">
        <v>17</v>
      </c>
      <c r="J19" s="122">
        <f t="shared" si="1"/>
        <v>0</v>
      </c>
      <c r="K19" s="122">
        <f t="shared" si="2"/>
        <v>0</v>
      </c>
      <c r="L19" s="124">
        <f t="shared" si="3"/>
        <v>0</v>
      </c>
      <c r="M19" s="124">
        <f t="shared" si="4"/>
        <v>0</v>
      </c>
      <c r="O19" s="110" t="s">
        <v>205</v>
      </c>
      <c r="P19" s="111">
        <f t="shared" si="0"/>
        <v>0</v>
      </c>
      <c r="Q19" s="110">
        <f>IFERROR(VLOOKUP('CSV IDA'!A19,Procv!$O$2:$P$89,2,0),0)</f>
        <v>0</v>
      </c>
      <c r="R19" s="115">
        <f>IFERROR(VLOOKUP('CSV VOLTA'!A19,Procv!$O$2:$P$89,2,0),0)</f>
        <v>0</v>
      </c>
    </row>
    <row r="20" spans="1:18" ht="20.100000000000001" customHeight="1" x14ac:dyDescent="0.25">
      <c r="A20" s="100">
        <v>19</v>
      </c>
      <c r="B20" s="100" t="s">
        <v>146</v>
      </c>
      <c r="C20" s="128" t="s">
        <v>186</v>
      </c>
      <c r="D20" s="100">
        <v>2543</v>
      </c>
      <c r="E20" s="100" t="s">
        <v>172</v>
      </c>
      <c r="F20" s="101"/>
      <c r="G20" s="101"/>
      <c r="I20" s="118">
        <v>18</v>
      </c>
      <c r="J20" s="125">
        <f t="shared" si="1"/>
        <v>0</v>
      </c>
      <c r="K20" s="125">
        <f t="shared" si="2"/>
        <v>0</v>
      </c>
      <c r="L20" s="126">
        <f t="shared" si="3"/>
        <v>0</v>
      </c>
      <c r="M20" s="126">
        <f t="shared" si="4"/>
        <v>0</v>
      </c>
      <c r="O20" s="110" t="s">
        <v>206</v>
      </c>
      <c r="P20" s="111">
        <f t="shared" si="0"/>
        <v>0</v>
      </c>
      <c r="Q20" s="110">
        <f>IFERROR(VLOOKUP('CSV IDA'!A20,Procv!$O$2:$P$89,2,0),0)</f>
        <v>0</v>
      </c>
      <c r="R20" s="115">
        <f>IFERROR(VLOOKUP('CSV VOLTA'!A20,Procv!$O$2:$P$89,2,0),0)</f>
        <v>0</v>
      </c>
    </row>
    <row r="21" spans="1:18" ht="20.100000000000001" customHeight="1" x14ac:dyDescent="0.25">
      <c r="A21" s="100">
        <v>20</v>
      </c>
      <c r="B21" s="100" t="s">
        <v>146</v>
      </c>
      <c r="C21" s="128" t="s">
        <v>173</v>
      </c>
      <c r="D21" s="100">
        <v>2542</v>
      </c>
      <c r="E21" s="100" t="s">
        <v>174</v>
      </c>
      <c r="F21" s="101"/>
      <c r="G21" s="101"/>
      <c r="I21" s="118">
        <v>19</v>
      </c>
      <c r="J21" s="122">
        <f t="shared" si="1"/>
        <v>0</v>
      </c>
      <c r="K21" s="122">
        <f t="shared" si="2"/>
        <v>0</v>
      </c>
      <c r="L21" s="124">
        <f t="shared" si="3"/>
        <v>0</v>
      </c>
      <c r="M21" s="124">
        <f t="shared" si="4"/>
        <v>0</v>
      </c>
      <c r="O21" s="110" t="s">
        <v>207</v>
      </c>
      <c r="P21" s="111">
        <f t="shared" si="0"/>
        <v>0</v>
      </c>
      <c r="Q21" s="110">
        <f>IFERROR(VLOOKUP('CSV IDA'!A21,Procv!$O$2:$P$89,2,0),0)</f>
        <v>0</v>
      </c>
      <c r="R21" s="115">
        <f>IFERROR(VLOOKUP('CSV VOLTA'!A21,Procv!$O$2:$P$89,2,0),0)</f>
        <v>0</v>
      </c>
    </row>
    <row r="22" spans="1:18" ht="20.100000000000001" customHeight="1" x14ac:dyDescent="0.25">
      <c r="I22" s="118">
        <v>20</v>
      </c>
      <c r="J22" s="125">
        <f t="shared" si="1"/>
        <v>0</v>
      </c>
      <c r="K22" s="125">
        <f t="shared" si="2"/>
        <v>0</v>
      </c>
      <c r="L22" s="126">
        <f t="shared" si="3"/>
        <v>0</v>
      </c>
      <c r="M22" s="126">
        <f t="shared" si="4"/>
        <v>0</v>
      </c>
      <c r="O22" s="110" t="s">
        <v>208</v>
      </c>
      <c r="P22" s="111">
        <f t="shared" si="0"/>
        <v>0</v>
      </c>
      <c r="Q22" s="110">
        <f>IFERROR(VLOOKUP('CSV IDA'!A22,Procv!$O$2:$P$89,2,0),0)</f>
        <v>0</v>
      </c>
      <c r="R22" s="115">
        <f>IFERROR(VLOOKUP('CSV VOLTA'!A22,Procv!$O$2:$P$89,2,0),0)</f>
        <v>0</v>
      </c>
    </row>
    <row r="23" spans="1:18" ht="20.100000000000001" customHeight="1" x14ac:dyDescent="0.25">
      <c r="I23" s="118">
        <v>21</v>
      </c>
      <c r="J23" s="122">
        <f t="shared" si="1"/>
        <v>0</v>
      </c>
      <c r="K23" s="122">
        <f t="shared" si="2"/>
        <v>0</v>
      </c>
      <c r="L23" s="124">
        <f t="shared" si="3"/>
        <v>0</v>
      </c>
      <c r="M23" s="124">
        <f t="shared" si="4"/>
        <v>0</v>
      </c>
      <c r="O23" s="110" t="s">
        <v>209</v>
      </c>
      <c r="P23" s="111">
        <f t="shared" si="0"/>
        <v>0</v>
      </c>
      <c r="Q23" s="110">
        <f>IFERROR(VLOOKUP('CSV IDA'!A23,Procv!$O$2:$P$89,2,0),0)</f>
        <v>0</v>
      </c>
      <c r="R23" s="115">
        <f>IFERROR(VLOOKUP('CSV VOLTA'!A23,Procv!$O$2:$P$89,2,0),0)</f>
        <v>0</v>
      </c>
    </row>
    <row r="24" spans="1:18" ht="20.100000000000001" customHeight="1" x14ac:dyDescent="0.25">
      <c r="I24" s="118">
        <v>22</v>
      </c>
      <c r="J24" s="125">
        <f t="shared" si="1"/>
        <v>0</v>
      </c>
      <c r="K24" s="125">
        <f t="shared" si="2"/>
        <v>0</v>
      </c>
      <c r="L24" s="126">
        <f t="shared" si="3"/>
        <v>0</v>
      </c>
      <c r="M24" s="126">
        <f t="shared" si="4"/>
        <v>0</v>
      </c>
      <c r="O24" s="110" t="s">
        <v>210</v>
      </c>
      <c r="P24" s="111">
        <f t="shared" ref="P24:P45" si="5">L3</f>
        <v>0</v>
      </c>
      <c r="Q24" s="110">
        <f>IFERROR(VLOOKUP('CSV IDA'!A24,Procv!$O$2:$P$89,2,0),0)</f>
        <v>0</v>
      </c>
      <c r="R24" s="115">
        <f>IFERROR(VLOOKUP('CSV VOLTA'!A24,Procv!$O$2:$P$89,2,0),0)</f>
        <v>0</v>
      </c>
    </row>
    <row r="25" spans="1:18" ht="20.100000000000001" customHeight="1" x14ac:dyDescent="0.25">
      <c r="I25"/>
      <c r="O25" s="110" t="s">
        <v>211</v>
      </c>
      <c r="P25" s="111">
        <f t="shared" si="5"/>
        <v>0</v>
      </c>
      <c r="Q25" s="110">
        <f>IFERROR(VLOOKUP('CSV IDA'!A25,Procv!$O$2:$P$89,2,0),0)</f>
        <v>0</v>
      </c>
      <c r="R25" s="115">
        <f>IFERROR(VLOOKUP('CSV VOLTA'!A25,Procv!$O$2:$P$89,2,0),0)</f>
        <v>0</v>
      </c>
    </row>
    <row r="26" spans="1:18" ht="20.100000000000001" customHeight="1" x14ac:dyDescent="0.25">
      <c r="O26" s="110" t="s">
        <v>212</v>
      </c>
      <c r="P26" s="111">
        <f t="shared" si="5"/>
        <v>0</v>
      </c>
      <c r="Q26" s="110">
        <f>IFERROR(VLOOKUP('CSV IDA'!A26,Procv!$O$2:$P$89,2,0),0)</f>
        <v>0</v>
      </c>
      <c r="R26" s="115">
        <f>IFERROR(VLOOKUP('CSV VOLTA'!A26,Procv!$O$2:$P$89,2,0),0)</f>
        <v>0</v>
      </c>
    </row>
    <row r="27" spans="1:18" ht="20.100000000000001" customHeight="1" x14ac:dyDescent="0.25">
      <c r="O27" s="110" t="s">
        <v>213</v>
      </c>
      <c r="P27" s="111">
        <f t="shared" si="5"/>
        <v>0</v>
      </c>
      <c r="Q27" s="110">
        <f>IFERROR(VLOOKUP('CSV IDA'!A27,Procv!$O$2:$P$89,2,0),0)</f>
        <v>0</v>
      </c>
      <c r="R27" s="115">
        <f>IFERROR(VLOOKUP('CSV VOLTA'!A27,Procv!$O$2:$P$89,2,0),0)</f>
        <v>0</v>
      </c>
    </row>
    <row r="28" spans="1:18" ht="20.100000000000001" customHeight="1" x14ac:dyDescent="0.25">
      <c r="O28" s="110" t="s">
        <v>214</v>
      </c>
      <c r="P28" s="111">
        <f t="shared" si="5"/>
        <v>0</v>
      </c>
      <c r="Q28" s="110">
        <f>IFERROR(VLOOKUP('CSV IDA'!A28,Procv!$O$2:$P$89,2,0),0)</f>
        <v>0</v>
      </c>
      <c r="R28" s="115">
        <f>IFERROR(VLOOKUP('CSV VOLTA'!A28,Procv!$O$2:$P$89,2,0),0)</f>
        <v>0</v>
      </c>
    </row>
    <row r="29" spans="1:18" ht="20.100000000000001" customHeight="1" x14ac:dyDescent="0.25">
      <c r="O29" s="110" t="s">
        <v>215</v>
      </c>
      <c r="P29" s="111">
        <f t="shared" si="5"/>
        <v>0</v>
      </c>
      <c r="Q29" s="110">
        <f>IFERROR(VLOOKUP('CSV IDA'!A29,Procv!$O$2:$P$89,2,0),0)</f>
        <v>0</v>
      </c>
      <c r="R29" s="115">
        <f>IFERROR(VLOOKUP('CSV VOLTA'!A29,Procv!$O$2:$P$89,2,0),0)</f>
        <v>0</v>
      </c>
    </row>
    <row r="30" spans="1:18" ht="20.100000000000001" customHeight="1" x14ac:dyDescent="0.25">
      <c r="O30" s="110" t="s">
        <v>216</v>
      </c>
      <c r="P30" s="111">
        <f t="shared" si="5"/>
        <v>0</v>
      </c>
      <c r="Q30" s="110">
        <f>IFERROR(VLOOKUP('CSV IDA'!A30,Procv!$O$2:$P$89,2,0),0)</f>
        <v>0</v>
      </c>
      <c r="R30" s="115">
        <f>IFERROR(VLOOKUP('CSV VOLTA'!A30,Procv!$O$2:$P$89,2,0),0)</f>
        <v>0</v>
      </c>
    </row>
    <row r="31" spans="1:18" ht="20.100000000000001" customHeight="1" x14ac:dyDescent="0.25">
      <c r="O31" s="110" t="s">
        <v>217</v>
      </c>
      <c r="P31" s="111">
        <f t="shared" si="5"/>
        <v>0</v>
      </c>
      <c r="Q31" s="110">
        <f>IFERROR(VLOOKUP('CSV IDA'!A31,Procv!$O$2:$P$89,2,0),0)</f>
        <v>0</v>
      </c>
      <c r="R31" s="115">
        <f>IFERROR(VLOOKUP('CSV VOLTA'!A31,Procv!$O$2:$P$89,2,0),0)</f>
        <v>0</v>
      </c>
    </row>
    <row r="32" spans="1:18" ht="20.100000000000001" customHeight="1" x14ac:dyDescent="0.25">
      <c r="O32" s="110" t="s">
        <v>218</v>
      </c>
      <c r="P32" s="111">
        <f t="shared" si="5"/>
        <v>0</v>
      </c>
      <c r="Q32" s="110">
        <f>IFERROR(VLOOKUP('CSV IDA'!A32,Procv!$O$2:$P$89,2,0),0)</f>
        <v>0</v>
      </c>
      <c r="R32" s="115">
        <f>IFERROR(VLOOKUP('CSV VOLTA'!A32,Procv!$O$2:$P$89,2,0),0)</f>
        <v>0</v>
      </c>
    </row>
    <row r="33" spans="15:18" ht="20.100000000000001" customHeight="1" x14ac:dyDescent="0.25">
      <c r="O33" s="110" t="s">
        <v>219</v>
      </c>
      <c r="P33" s="111">
        <f t="shared" si="5"/>
        <v>0</v>
      </c>
      <c r="Q33" s="110">
        <f>IFERROR(VLOOKUP('CSV IDA'!A33,Procv!$O$2:$P$89,2,0),0)</f>
        <v>0</v>
      </c>
      <c r="R33" s="115">
        <f>IFERROR(VLOOKUP('CSV VOLTA'!A33,Procv!$O$2:$P$89,2,0),0)</f>
        <v>0</v>
      </c>
    </row>
    <row r="34" spans="15:18" ht="20.100000000000001" customHeight="1" x14ac:dyDescent="0.25">
      <c r="O34" s="110" t="s">
        <v>220</v>
      </c>
      <c r="P34" s="111">
        <f t="shared" si="5"/>
        <v>0</v>
      </c>
      <c r="Q34" s="110">
        <f>IFERROR(VLOOKUP('CSV IDA'!A34,Procv!$O$2:$P$89,2,0),0)</f>
        <v>0</v>
      </c>
      <c r="R34" s="115">
        <f>IFERROR(VLOOKUP('CSV VOLTA'!A34,Procv!$O$2:$P$89,2,0),0)</f>
        <v>0</v>
      </c>
    </row>
    <row r="35" spans="15:18" ht="20.100000000000001" customHeight="1" x14ac:dyDescent="0.25">
      <c r="O35" s="110" t="s">
        <v>221</v>
      </c>
      <c r="P35" s="111">
        <f t="shared" si="5"/>
        <v>0</v>
      </c>
      <c r="Q35" s="110">
        <f>IFERROR(VLOOKUP('CSV IDA'!A35,Procv!$O$2:$P$89,2,0),0)</f>
        <v>0</v>
      </c>
      <c r="R35" s="115">
        <f>IFERROR(VLOOKUP('CSV VOLTA'!A35,Procv!$O$2:$P$89,2,0),0)</f>
        <v>0</v>
      </c>
    </row>
    <row r="36" spans="15:18" ht="20.100000000000001" customHeight="1" x14ac:dyDescent="0.25">
      <c r="O36" s="110" t="s">
        <v>222</v>
      </c>
      <c r="P36" s="111">
        <f t="shared" si="5"/>
        <v>0</v>
      </c>
      <c r="Q36" s="110">
        <f>IFERROR(VLOOKUP('CSV IDA'!A36,Procv!$O$2:$P$89,2,0),0)</f>
        <v>0</v>
      </c>
      <c r="R36" s="115">
        <f>IFERROR(VLOOKUP('CSV VOLTA'!A36,Procv!$O$2:$P$89,2,0),0)</f>
        <v>0</v>
      </c>
    </row>
    <row r="37" spans="15:18" ht="20.100000000000001" customHeight="1" x14ac:dyDescent="0.25">
      <c r="O37" s="110" t="s">
        <v>223</v>
      </c>
      <c r="P37" s="111">
        <f t="shared" si="5"/>
        <v>0</v>
      </c>
      <c r="Q37" s="110">
        <f>IFERROR(VLOOKUP('CSV IDA'!A37,Procv!$O$2:$P$89,2,0),0)</f>
        <v>0</v>
      </c>
      <c r="R37" s="115">
        <f>IFERROR(VLOOKUP('CSV VOLTA'!A37,Procv!$O$2:$P$89,2,0),0)</f>
        <v>0</v>
      </c>
    </row>
    <row r="38" spans="15:18" ht="20.100000000000001" customHeight="1" x14ac:dyDescent="0.25">
      <c r="O38" s="110" t="s">
        <v>224</v>
      </c>
      <c r="P38" s="111">
        <f t="shared" si="5"/>
        <v>0</v>
      </c>
      <c r="Q38" s="110">
        <f>IFERROR(VLOOKUP('CSV IDA'!A38,Procv!$O$2:$P$89,2,0),0)</f>
        <v>0</v>
      </c>
      <c r="R38" s="115">
        <f>IFERROR(VLOOKUP('CSV VOLTA'!A38,Procv!$O$2:$P$89,2,0),0)</f>
        <v>0</v>
      </c>
    </row>
    <row r="39" spans="15:18" ht="20.100000000000001" customHeight="1" x14ac:dyDescent="0.25">
      <c r="O39" s="110" t="s">
        <v>225</v>
      </c>
      <c r="P39" s="111">
        <f t="shared" si="5"/>
        <v>0</v>
      </c>
      <c r="Q39" s="110">
        <f>IFERROR(VLOOKUP('CSV IDA'!A39,Procv!$O$2:$P$89,2,0),0)</f>
        <v>0</v>
      </c>
      <c r="R39" s="115">
        <f>IFERROR(VLOOKUP('CSV VOLTA'!A39,Procv!$O$2:$P$89,2,0),0)</f>
        <v>0</v>
      </c>
    </row>
    <row r="40" spans="15:18" ht="20.100000000000001" customHeight="1" x14ac:dyDescent="0.25">
      <c r="O40" s="110" t="s">
        <v>226</v>
      </c>
      <c r="P40" s="111">
        <f t="shared" si="5"/>
        <v>0</v>
      </c>
      <c r="Q40" s="110">
        <f>IFERROR(VLOOKUP('CSV IDA'!A40,Procv!$O$2:$P$89,2,0),0)</f>
        <v>0</v>
      </c>
      <c r="R40" s="115">
        <f>IFERROR(VLOOKUP('CSV VOLTA'!A40,Procv!$O$2:$P$89,2,0),0)</f>
        <v>0</v>
      </c>
    </row>
    <row r="41" spans="15:18" ht="20.100000000000001" customHeight="1" x14ac:dyDescent="0.25">
      <c r="O41" s="110" t="s">
        <v>227</v>
      </c>
      <c r="P41" s="111">
        <f t="shared" si="5"/>
        <v>0</v>
      </c>
      <c r="Q41" s="110">
        <f>IFERROR(VLOOKUP('CSV IDA'!A41,Procv!$O$2:$P$89,2,0),0)</f>
        <v>0</v>
      </c>
      <c r="R41" s="115">
        <f>IFERROR(VLOOKUP('CSV VOLTA'!A41,Procv!$O$2:$P$89,2,0),0)</f>
        <v>0</v>
      </c>
    </row>
    <row r="42" spans="15:18" ht="20.100000000000001" customHeight="1" x14ac:dyDescent="0.25">
      <c r="O42" s="110" t="s">
        <v>228</v>
      </c>
      <c r="P42" s="111">
        <f t="shared" si="5"/>
        <v>0</v>
      </c>
      <c r="Q42" s="110">
        <f>IFERROR(VLOOKUP('CSV IDA'!A42,Procv!$O$2:$P$89,2,0),0)</f>
        <v>0</v>
      </c>
      <c r="R42" s="115">
        <f>IFERROR(VLOOKUP('CSV VOLTA'!A42,Procv!$O$2:$P$89,2,0),0)</f>
        <v>0</v>
      </c>
    </row>
    <row r="43" spans="15:18" ht="20.100000000000001" customHeight="1" x14ac:dyDescent="0.25">
      <c r="O43" s="110" t="s">
        <v>229</v>
      </c>
      <c r="P43" s="111">
        <f t="shared" si="5"/>
        <v>0</v>
      </c>
      <c r="Q43" s="110">
        <f>IFERROR(VLOOKUP('CSV IDA'!A43,Procv!$O$2:$P$89,2,0),0)</f>
        <v>0</v>
      </c>
      <c r="R43" s="115">
        <f>IFERROR(VLOOKUP('CSV VOLTA'!A43,Procv!$O$2:$P$89,2,0),0)</f>
        <v>0</v>
      </c>
    </row>
    <row r="44" spans="15:18" ht="20.100000000000001" customHeight="1" x14ac:dyDescent="0.25">
      <c r="O44" s="110" t="s">
        <v>230</v>
      </c>
      <c r="P44" s="111">
        <f t="shared" si="5"/>
        <v>0</v>
      </c>
      <c r="Q44" s="110">
        <f>IFERROR(VLOOKUP('CSV IDA'!A44,Procv!$O$2:$P$89,2,0),0)</f>
        <v>0</v>
      </c>
      <c r="R44" s="115">
        <f>IFERROR(VLOOKUP('CSV VOLTA'!A44,Procv!$O$2:$P$89,2,0),0)</f>
        <v>0</v>
      </c>
    </row>
    <row r="45" spans="15:18" ht="20.100000000000001" customHeight="1" thickBot="1" x14ac:dyDescent="0.3">
      <c r="O45" s="112" t="s">
        <v>231</v>
      </c>
      <c r="P45" s="113">
        <f t="shared" si="5"/>
        <v>0</v>
      </c>
      <c r="Q45" s="110">
        <f>IFERROR(VLOOKUP('CSV IDA'!A45,Procv!$O$2:$P$89,2,0),0)</f>
        <v>0</v>
      </c>
      <c r="R45" s="115">
        <f>IFERROR(VLOOKUP('CSV VOLTA'!A45,Procv!$O$2:$P$89,2,0),0)</f>
        <v>0</v>
      </c>
    </row>
    <row r="46" spans="15:18" ht="20.100000000000001" customHeight="1" x14ac:dyDescent="0.25">
      <c r="O46" s="33"/>
      <c r="P46"/>
      <c r="Q46" s="110">
        <f>IFERROR(VLOOKUP('CSV IDA'!A46,Procv!$O$2:$P$89,2,0),0)</f>
        <v>0</v>
      </c>
      <c r="R46" s="115">
        <f>IFERROR(VLOOKUP('CSV VOLTA'!A46,Procv!$O$2:$P$89,2,0),0)</f>
        <v>0</v>
      </c>
    </row>
    <row r="47" spans="15:18" ht="20.100000000000001" customHeight="1" x14ac:dyDescent="0.25">
      <c r="O47" s="33"/>
      <c r="P47"/>
      <c r="Q47" s="110">
        <f>IFERROR(VLOOKUP('CSV IDA'!A47,Procv!$O$2:$P$89,2,0),0)</f>
        <v>0</v>
      </c>
      <c r="R47" s="115">
        <f>IFERROR(VLOOKUP('CSV VOLTA'!A47,Procv!$O$2:$P$89,2,0),0)</f>
        <v>0</v>
      </c>
    </row>
    <row r="48" spans="15:18" ht="20.100000000000001" customHeight="1" x14ac:dyDescent="0.25">
      <c r="O48" s="33"/>
      <c r="P48"/>
      <c r="Q48" s="110">
        <f>IFERROR(VLOOKUP('CSV IDA'!A48,Procv!$O$2:$P$89,2,0),0)</f>
        <v>0</v>
      </c>
      <c r="R48" s="115">
        <f>IFERROR(VLOOKUP('CSV VOLTA'!A48,Procv!$O$2:$P$89,2,0),0)</f>
        <v>0</v>
      </c>
    </row>
    <row r="49" spans="15:18" ht="20.100000000000001" customHeight="1" x14ac:dyDescent="0.25">
      <c r="O49" s="33"/>
      <c r="P49"/>
      <c r="Q49" s="110">
        <f>IFERROR(VLOOKUP('CSV IDA'!A49,Procv!$O$2:$P$89,2,0),0)</f>
        <v>0</v>
      </c>
      <c r="R49" s="115">
        <f>IFERROR(VLOOKUP('CSV VOLTA'!A49,Procv!$O$2:$P$89,2,0),0)</f>
        <v>0</v>
      </c>
    </row>
    <row r="50" spans="15:18" ht="20.100000000000001" customHeight="1" x14ac:dyDescent="0.25">
      <c r="O50" s="33"/>
      <c r="P50"/>
      <c r="Q50" s="110">
        <f>IFERROR(VLOOKUP('CSV IDA'!A50,Procv!$O$2:$P$89,2,0),0)</f>
        <v>0</v>
      </c>
      <c r="R50" s="115">
        <f>IFERROR(VLOOKUP('CSV VOLTA'!A50,Procv!$O$2:$P$89,2,0),0)</f>
        <v>0</v>
      </c>
    </row>
    <row r="51" spans="15:18" ht="20.100000000000001" customHeight="1" x14ac:dyDescent="0.25">
      <c r="O51" s="33"/>
      <c r="P51"/>
      <c r="Q51" s="110">
        <f>IFERROR(VLOOKUP('CSV IDA'!A51,Procv!$O$2:$P$89,2,0),0)</f>
        <v>0</v>
      </c>
      <c r="R51" s="115">
        <f>IFERROR(VLOOKUP('CSV VOLTA'!A51,Procv!$O$2:$P$89,2,0),0)</f>
        <v>0</v>
      </c>
    </row>
    <row r="52" spans="15:18" ht="20.100000000000001" customHeight="1" x14ac:dyDescent="0.25">
      <c r="O52" s="33"/>
      <c r="P52"/>
      <c r="Q52" s="110">
        <f>IFERROR(VLOOKUP('CSV IDA'!A52,Procv!$O$2:$P$89,2,0),0)</f>
        <v>0</v>
      </c>
      <c r="R52" s="115">
        <f>IFERROR(VLOOKUP('CSV VOLTA'!A52,Procv!$O$2:$P$89,2,0),0)</f>
        <v>0</v>
      </c>
    </row>
    <row r="53" spans="15:18" ht="20.100000000000001" customHeight="1" x14ac:dyDescent="0.25">
      <c r="O53" s="33"/>
      <c r="P53"/>
      <c r="Q53" s="110">
        <f>IFERROR(VLOOKUP('CSV IDA'!A53,Procv!$O$2:$P$89,2,0),0)</f>
        <v>0</v>
      </c>
      <c r="R53" s="115">
        <f>IFERROR(VLOOKUP('CSV VOLTA'!A53,Procv!$O$2:$P$89,2,0),0)</f>
        <v>0</v>
      </c>
    </row>
    <row r="54" spans="15:18" ht="20.100000000000001" customHeight="1" x14ac:dyDescent="0.25">
      <c r="O54" s="33"/>
      <c r="P54"/>
      <c r="Q54" s="110">
        <f>IFERROR(VLOOKUP('CSV IDA'!A54,Procv!$O$2:$P$89,2,0),0)</f>
        <v>0</v>
      </c>
      <c r="R54" s="115">
        <f>IFERROR(VLOOKUP('CSV VOLTA'!A54,Procv!$O$2:$P$89,2,0),0)</f>
        <v>0</v>
      </c>
    </row>
    <row r="55" spans="15:18" ht="20.100000000000001" customHeight="1" x14ac:dyDescent="0.25">
      <c r="O55" s="33"/>
      <c r="P55"/>
      <c r="Q55" s="110">
        <f>IFERROR(VLOOKUP('CSV IDA'!A55,Procv!$O$2:$P$89,2,0),0)</f>
        <v>0</v>
      </c>
      <c r="R55" s="115">
        <f>IFERROR(VLOOKUP('CSV VOLTA'!A55,Procv!$O$2:$P$89,2,0),0)</f>
        <v>0</v>
      </c>
    </row>
    <row r="56" spans="15:18" ht="20.100000000000001" customHeight="1" x14ac:dyDescent="0.25">
      <c r="O56" s="33"/>
      <c r="P56"/>
      <c r="Q56" s="110">
        <f>IFERROR(VLOOKUP('CSV IDA'!A56,Procv!$O$2:$P$89,2,0),0)</f>
        <v>0</v>
      </c>
      <c r="R56" s="115">
        <f>IFERROR(VLOOKUP('CSV VOLTA'!A56,Procv!$O$2:$P$89,2,0),0)</f>
        <v>0</v>
      </c>
    </row>
    <row r="57" spans="15:18" ht="20.100000000000001" customHeight="1" x14ac:dyDescent="0.25">
      <c r="O57" s="33"/>
      <c r="P57"/>
      <c r="Q57" s="110">
        <f>IFERROR(VLOOKUP('CSV IDA'!A57,Procv!$O$2:$P$89,2,0),0)</f>
        <v>0</v>
      </c>
      <c r="R57" s="115">
        <f>IFERROR(VLOOKUP('CSV VOLTA'!A57,Procv!$O$2:$P$89,2,0),0)</f>
        <v>0</v>
      </c>
    </row>
    <row r="58" spans="15:18" ht="20.100000000000001" customHeight="1" x14ac:dyDescent="0.25">
      <c r="O58" s="33"/>
      <c r="P58"/>
      <c r="Q58" s="110">
        <f>IFERROR(VLOOKUP('CSV IDA'!A58,Procv!$O$2:$P$89,2,0),0)</f>
        <v>0</v>
      </c>
      <c r="R58" s="115">
        <f>IFERROR(VLOOKUP('CSV VOLTA'!A58,Procv!$O$2:$P$89,2,0),0)</f>
        <v>0</v>
      </c>
    </row>
    <row r="59" spans="15:18" ht="20.100000000000001" customHeight="1" x14ac:dyDescent="0.25">
      <c r="O59" s="33"/>
      <c r="P59"/>
      <c r="Q59" s="110">
        <f>IFERROR(VLOOKUP('CSV IDA'!A59,Procv!$O$2:$P$89,2,0),0)</f>
        <v>0</v>
      </c>
      <c r="R59" s="115">
        <f>IFERROR(VLOOKUP('CSV VOLTA'!A59,Procv!$O$2:$P$89,2,0),0)</f>
        <v>0</v>
      </c>
    </row>
    <row r="60" spans="15:18" ht="20.100000000000001" customHeight="1" x14ac:dyDescent="0.25">
      <c r="O60" s="33"/>
      <c r="P60"/>
      <c r="Q60" s="110">
        <f>IFERROR(VLOOKUP('CSV IDA'!A60,Procv!$O$2:$P$89,2,0),0)</f>
        <v>0</v>
      </c>
      <c r="R60" s="115">
        <f>IFERROR(VLOOKUP('CSV VOLTA'!A60,Procv!$O$2:$P$89,2,0),0)</f>
        <v>0</v>
      </c>
    </row>
    <row r="61" spans="15:18" ht="20.100000000000001" customHeight="1" x14ac:dyDescent="0.25">
      <c r="O61" s="33"/>
      <c r="P61"/>
      <c r="Q61" s="110">
        <f>IFERROR(VLOOKUP('CSV IDA'!A61,Procv!$O$2:$P$89,2,0),0)</f>
        <v>0</v>
      </c>
      <c r="R61" s="115">
        <f>IFERROR(VLOOKUP('CSV VOLTA'!A61,Procv!$O$2:$P$89,2,0),0)</f>
        <v>0</v>
      </c>
    </row>
    <row r="62" spans="15:18" ht="20.100000000000001" customHeight="1" x14ac:dyDescent="0.25">
      <c r="O62" s="33"/>
      <c r="P62"/>
      <c r="Q62" s="110">
        <f>IFERROR(VLOOKUP('CSV IDA'!A62,Procv!$O$2:$P$89,2,0),0)</f>
        <v>0</v>
      </c>
      <c r="R62" s="115">
        <f>IFERROR(VLOOKUP('CSV VOLTA'!A62,Procv!$O$2:$P$89,2,0),0)</f>
        <v>0</v>
      </c>
    </row>
    <row r="63" spans="15:18" ht="20.100000000000001" customHeight="1" x14ac:dyDescent="0.25">
      <c r="O63" s="33"/>
      <c r="P63"/>
      <c r="Q63" s="110">
        <f>IFERROR(VLOOKUP('CSV IDA'!A63,Procv!$O$2:$P$89,2,0),0)</f>
        <v>0</v>
      </c>
      <c r="R63" s="115">
        <f>IFERROR(VLOOKUP('CSV VOLTA'!A63,Procv!$O$2:$P$89,2,0),0)</f>
        <v>0</v>
      </c>
    </row>
    <row r="64" spans="15:18" ht="20.100000000000001" customHeight="1" x14ac:dyDescent="0.25">
      <c r="O64" s="33"/>
      <c r="P64"/>
      <c r="Q64" s="110">
        <f>IFERROR(VLOOKUP('CSV IDA'!A64,Procv!$O$2:$P$89,2,0),0)</f>
        <v>0</v>
      </c>
      <c r="R64" s="115">
        <f>IFERROR(VLOOKUP('CSV VOLTA'!A64,Procv!$O$2:$P$89,2,0),0)</f>
        <v>0</v>
      </c>
    </row>
    <row r="65" spans="9:18" ht="20.100000000000001" customHeight="1" x14ac:dyDescent="0.25">
      <c r="O65" s="33"/>
      <c r="P65"/>
      <c r="Q65" s="110">
        <f>IFERROR(VLOOKUP('CSV IDA'!A65,Procv!$O$2:$P$89,2,0),0)</f>
        <v>0</v>
      </c>
      <c r="R65" s="115">
        <f>IFERROR(VLOOKUP('CSV VOLTA'!A65,Procv!$O$2:$P$89,2,0),0)</f>
        <v>0</v>
      </c>
    </row>
    <row r="66" spans="9:18" ht="20.100000000000001" customHeight="1" x14ac:dyDescent="0.25">
      <c r="O66" s="33"/>
      <c r="P66"/>
      <c r="Q66" s="110">
        <f>IFERROR(VLOOKUP('CSV IDA'!A66,Procv!$O$2:$P$89,2,0),0)</f>
        <v>0</v>
      </c>
      <c r="R66" s="115">
        <f>IFERROR(VLOOKUP('CSV VOLTA'!A66,Procv!$O$2:$P$89,2,0),0)</f>
        <v>0</v>
      </c>
    </row>
    <row r="67" spans="9:18" ht="20.100000000000001" customHeight="1" x14ac:dyDescent="0.25">
      <c r="O67" s="33"/>
      <c r="P67"/>
      <c r="Q67" s="110">
        <f>IFERROR(VLOOKUP('CSV IDA'!A67,Procv!$O$2:$P$89,2,0),0)</f>
        <v>0</v>
      </c>
      <c r="R67" s="115">
        <f>IFERROR(VLOOKUP('CSV VOLTA'!A67,Procv!$O$2:$P$89,2,0),0)</f>
        <v>0</v>
      </c>
    </row>
    <row r="68" spans="9:18" ht="20.100000000000001" customHeight="1" x14ac:dyDescent="0.25">
      <c r="O68" s="33"/>
      <c r="P68"/>
      <c r="Q68" s="110">
        <f>IFERROR(VLOOKUP('CSV IDA'!A68,Procv!$O$2:$P$89,2,0),0)</f>
        <v>0</v>
      </c>
      <c r="R68" s="115">
        <f>IFERROR(VLOOKUP('CSV VOLTA'!A68,Procv!$O$2:$P$89,2,0),0)</f>
        <v>0</v>
      </c>
    </row>
    <row r="69" spans="9:18" ht="20.100000000000001" customHeight="1" x14ac:dyDescent="0.25">
      <c r="O69" s="33"/>
      <c r="P69"/>
      <c r="Q69" s="110">
        <f>IFERROR(VLOOKUP('CSV IDA'!A69,Procv!$O$2:$P$89,2,0),0)</f>
        <v>0</v>
      </c>
      <c r="R69" s="115">
        <f>IFERROR(VLOOKUP('CSV VOLTA'!A69,Procv!$O$2:$P$89,2,0),0)</f>
        <v>0</v>
      </c>
    </row>
    <row r="70" spans="9:18" ht="20.100000000000001" customHeight="1" x14ac:dyDescent="0.25">
      <c r="O70" s="33"/>
      <c r="P70"/>
      <c r="Q70" s="110">
        <f>IFERROR(VLOOKUP('CSV IDA'!A70,Procv!$O$2:$P$89,2,0),0)</f>
        <v>0</v>
      </c>
      <c r="R70" s="115">
        <f>IFERROR(VLOOKUP('CSV VOLTA'!A70,Procv!$O$2:$P$89,2,0),0)</f>
        <v>0</v>
      </c>
    </row>
    <row r="71" spans="9:18" ht="20.100000000000001" customHeight="1" x14ac:dyDescent="0.25">
      <c r="O71" s="33"/>
      <c r="P71"/>
      <c r="Q71" s="110">
        <f>IFERROR(VLOOKUP('CSV IDA'!A71,Procv!$O$2:$P$89,2,0),0)</f>
        <v>0</v>
      </c>
      <c r="R71" s="115">
        <f>IFERROR(VLOOKUP('CSV VOLTA'!A71,Procv!$O$2:$P$89,2,0),0)</f>
        <v>0</v>
      </c>
    </row>
    <row r="72" spans="9:18" ht="20.100000000000001" customHeight="1" x14ac:dyDescent="0.25">
      <c r="I72" s="33"/>
      <c r="O72" s="33"/>
      <c r="P72"/>
      <c r="Q72" s="110">
        <f>IFERROR(VLOOKUP('CSV IDA'!A72,Procv!$O$2:$P$89,2,0),0)</f>
        <v>0</v>
      </c>
      <c r="R72" s="115">
        <f>IFERROR(VLOOKUP('CSV VOLTA'!A72,Procv!$O$2:$P$89,2,0),0)</f>
        <v>0</v>
      </c>
    </row>
    <row r="73" spans="9:18" ht="20.100000000000001" customHeight="1" x14ac:dyDescent="0.25">
      <c r="I73" s="33"/>
      <c r="O73" s="33"/>
      <c r="P73"/>
      <c r="Q73" s="110">
        <f>IFERROR(VLOOKUP('CSV IDA'!A73,Procv!$O$2:$P$89,2,0),0)</f>
        <v>0</v>
      </c>
      <c r="R73" s="115">
        <f>IFERROR(VLOOKUP('CSV VOLTA'!A73,Procv!$O$2:$P$89,2,0),0)</f>
        <v>0</v>
      </c>
    </row>
    <row r="74" spans="9:18" ht="20.100000000000001" customHeight="1" x14ac:dyDescent="0.25">
      <c r="I74" s="33"/>
      <c r="O74" s="33"/>
      <c r="P74"/>
      <c r="Q74" s="110">
        <f>IFERROR(VLOOKUP('CSV IDA'!A74,Procv!$O$2:$P$89,2,0),0)</f>
        <v>0</v>
      </c>
      <c r="R74" s="115">
        <f>IFERROR(VLOOKUP('CSV VOLTA'!A74,Procv!$O$2:$P$89,2,0),0)</f>
        <v>0</v>
      </c>
    </row>
    <row r="75" spans="9:18" ht="20.100000000000001" customHeight="1" x14ac:dyDescent="0.25">
      <c r="I75" s="33"/>
      <c r="O75" s="33"/>
      <c r="P75"/>
      <c r="Q75" s="110">
        <f>IFERROR(VLOOKUP('CSV IDA'!A75,Procv!$O$2:$P$89,2,0),0)</f>
        <v>0</v>
      </c>
      <c r="R75" s="115">
        <f>IFERROR(VLOOKUP('CSV VOLTA'!A75,Procv!$O$2:$P$89,2,0),0)</f>
        <v>0</v>
      </c>
    </row>
    <row r="76" spans="9:18" ht="20.100000000000001" customHeight="1" x14ac:dyDescent="0.25">
      <c r="I76" s="33"/>
      <c r="O76" s="33"/>
      <c r="P76"/>
      <c r="Q76" s="110">
        <f>IFERROR(VLOOKUP('CSV IDA'!A76,Procv!$O$2:$P$89,2,0),0)</f>
        <v>0</v>
      </c>
      <c r="R76" s="115">
        <f>IFERROR(VLOOKUP('CSV VOLTA'!A76,Procv!$O$2:$P$89,2,0),0)</f>
        <v>0</v>
      </c>
    </row>
    <row r="77" spans="9:18" ht="20.100000000000001" customHeight="1" x14ac:dyDescent="0.25">
      <c r="I77" s="33"/>
      <c r="O77" s="33"/>
      <c r="P77"/>
      <c r="Q77" s="110">
        <f>IFERROR(VLOOKUP('CSV IDA'!A77,Procv!$O$2:$P$89,2,0),0)</f>
        <v>0</v>
      </c>
      <c r="R77" s="115">
        <f>IFERROR(VLOOKUP('CSV VOLTA'!A77,Procv!$O$2:$P$89,2,0),0)</f>
        <v>0</v>
      </c>
    </row>
    <row r="78" spans="9:18" ht="20.100000000000001" customHeight="1" x14ac:dyDescent="0.25">
      <c r="I78" s="33"/>
      <c r="O78" s="33"/>
      <c r="P78"/>
      <c r="Q78" s="110">
        <f>IFERROR(VLOOKUP('CSV IDA'!A78,Procv!$O$2:$P$89,2,0),0)</f>
        <v>0</v>
      </c>
      <c r="R78" s="115">
        <f>IFERROR(VLOOKUP('CSV VOLTA'!A78,Procv!$O$2:$P$89,2,0),0)</f>
        <v>0</v>
      </c>
    </row>
    <row r="79" spans="9:18" ht="20.100000000000001" customHeight="1" x14ac:dyDescent="0.25">
      <c r="I79" s="33"/>
      <c r="O79" s="33"/>
      <c r="P79"/>
      <c r="Q79" s="110">
        <f>IFERROR(VLOOKUP('CSV IDA'!A79,Procv!$O$2:$P$89,2,0),0)</f>
        <v>0</v>
      </c>
      <c r="R79" s="115">
        <f>IFERROR(VLOOKUP('CSV VOLTA'!A79,Procv!$O$2:$P$89,2,0),0)</f>
        <v>0</v>
      </c>
    </row>
    <row r="80" spans="9:18" ht="20.100000000000001" customHeight="1" x14ac:dyDescent="0.25">
      <c r="I80" s="33"/>
      <c r="O80" s="33"/>
      <c r="P80"/>
      <c r="Q80" s="110">
        <f>IFERROR(VLOOKUP('CSV IDA'!A80,Procv!$O$2:$P$89,2,0),0)</f>
        <v>0</v>
      </c>
      <c r="R80" s="115">
        <f>IFERROR(VLOOKUP('CSV VOLTA'!A80,Procv!$O$2:$P$89,2,0),0)</f>
        <v>0</v>
      </c>
    </row>
    <row r="81" spans="9:18" ht="20.100000000000001" customHeight="1" x14ac:dyDescent="0.25">
      <c r="I81" s="33"/>
      <c r="O81" s="33"/>
      <c r="P81"/>
      <c r="Q81" s="110">
        <f>IFERROR(VLOOKUP('CSV IDA'!A81,Procv!$O$2:$P$89,2,0),0)</f>
        <v>0</v>
      </c>
      <c r="R81" s="115">
        <f>IFERROR(VLOOKUP('CSV VOLTA'!A81,Procv!$O$2:$P$89,2,0),0)</f>
        <v>0</v>
      </c>
    </row>
    <row r="82" spans="9:18" ht="20.100000000000001" customHeight="1" x14ac:dyDescent="0.25">
      <c r="I82" s="33"/>
      <c r="O82" s="33"/>
      <c r="P82"/>
      <c r="Q82" s="110">
        <f>IFERROR(VLOOKUP('CSV IDA'!A82,Procv!$O$2:$P$89,2,0),0)</f>
        <v>0</v>
      </c>
      <c r="R82" s="115">
        <f>IFERROR(VLOOKUP('CSV VOLTA'!A82,Procv!$O$2:$P$89,2,0),0)</f>
        <v>0</v>
      </c>
    </row>
    <row r="83" spans="9:18" ht="20.100000000000001" customHeight="1" x14ac:dyDescent="0.25">
      <c r="I83" s="33"/>
      <c r="O83" s="33"/>
      <c r="P83"/>
      <c r="Q83" s="110">
        <f>IFERROR(VLOOKUP('CSV IDA'!A83,Procv!$O$2:$P$89,2,0),0)</f>
        <v>0</v>
      </c>
      <c r="R83" s="115">
        <f>IFERROR(VLOOKUP('CSV VOLTA'!A83,Procv!$O$2:$P$89,2,0),0)</f>
        <v>0</v>
      </c>
    </row>
    <row r="84" spans="9:18" ht="20.100000000000001" customHeight="1" x14ac:dyDescent="0.25">
      <c r="I84" s="33"/>
      <c r="O84" s="33"/>
      <c r="P84"/>
      <c r="Q84" s="110">
        <f>IFERROR(VLOOKUP('CSV IDA'!A84,Procv!$O$2:$P$89,2,0),0)</f>
        <v>0</v>
      </c>
      <c r="R84" s="115">
        <f>IFERROR(VLOOKUP('CSV VOLTA'!A84,Procv!$O$2:$P$89,2,0),0)</f>
        <v>0</v>
      </c>
    </row>
    <row r="85" spans="9:18" ht="20.100000000000001" customHeight="1" x14ac:dyDescent="0.25">
      <c r="I85" s="33"/>
      <c r="O85" s="33"/>
      <c r="P85"/>
      <c r="Q85" s="110">
        <f>IFERROR(VLOOKUP('CSV IDA'!A85,Procv!$O$2:$P$89,2,0),0)</f>
        <v>0</v>
      </c>
      <c r="R85" s="115">
        <f>IFERROR(VLOOKUP('CSV VOLTA'!A85,Procv!$O$2:$P$89,2,0),0)</f>
        <v>0</v>
      </c>
    </row>
    <row r="86" spans="9:18" ht="20.100000000000001" customHeight="1" x14ac:dyDescent="0.25">
      <c r="I86" s="33"/>
      <c r="O86" s="33"/>
      <c r="P86"/>
      <c r="Q86" s="110">
        <f>IFERROR(VLOOKUP('CSV IDA'!A86,Procv!$O$2:$P$89,2,0),0)</f>
        <v>0</v>
      </c>
      <c r="R86" s="115">
        <f>IFERROR(VLOOKUP('CSV VOLTA'!A86,Procv!$O$2:$P$89,2,0),0)</f>
        <v>0</v>
      </c>
    </row>
    <row r="87" spans="9:18" ht="20.100000000000001" customHeight="1" x14ac:dyDescent="0.25">
      <c r="I87" s="33"/>
      <c r="O87" s="33"/>
      <c r="P87"/>
      <c r="Q87" s="110">
        <f>IFERROR(VLOOKUP('CSV IDA'!A87,Procv!$O$2:$P$89,2,0),0)</f>
        <v>0</v>
      </c>
      <c r="R87" s="115">
        <f>IFERROR(VLOOKUP('CSV VOLTA'!A87,Procv!$O$2:$P$89,2,0),0)</f>
        <v>0</v>
      </c>
    </row>
    <row r="88" spans="9:18" ht="20.100000000000001" customHeight="1" x14ac:dyDescent="0.25">
      <c r="I88" s="33"/>
      <c r="O88" s="33"/>
      <c r="P88"/>
      <c r="Q88" s="110">
        <f>IFERROR(VLOOKUP('CSV IDA'!A88,Procv!$O$2:$P$89,2,0),0)</f>
        <v>0</v>
      </c>
      <c r="R88" s="115">
        <f>IFERROR(VLOOKUP('CSV VOLTA'!A88,Procv!$O$2:$P$89,2,0),0)</f>
        <v>0</v>
      </c>
    </row>
    <row r="89" spans="9:18" ht="20.100000000000001" customHeight="1" x14ac:dyDescent="0.25">
      <c r="I89" s="33"/>
      <c r="O89" s="33"/>
      <c r="P89"/>
      <c r="Q89" s="110">
        <f>IFERROR(VLOOKUP('CSV IDA'!A89,Procv!$O$2:$P$89,2,0),0)</f>
        <v>0</v>
      </c>
      <c r="R89" s="115">
        <f>IFERROR(VLOOKUP('CSV VOLTA'!A89,Procv!$O$2:$P$89,2,0),0)</f>
        <v>0</v>
      </c>
    </row>
    <row r="90" spans="9:18" ht="20.100000000000001" customHeight="1" x14ac:dyDescent="0.25">
      <c r="I90" s="33"/>
      <c r="Q90" s="110">
        <f>IFERROR(VLOOKUP('CSV IDA'!A90,Procv!$O$2:$P$89,2,0),0)</f>
        <v>0</v>
      </c>
      <c r="R90" s="115">
        <f>IFERROR(VLOOKUP('CSV VOLTA'!A90,Procv!$O$2:$P$89,2,0),0)</f>
        <v>0</v>
      </c>
    </row>
    <row r="91" spans="9:18" ht="20.100000000000001" customHeight="1" x14ac:dyDescent="0.25">
      <c r="Q91" s="110">
        <f>IFERROR(VLOOKUP('CSV IDA'!A91,Procv!$O$2:$P$89,2,0),0)</f>
        <v>0</v>
      </c>
      <c r="R91" s="115">
        <f>IFERROR(VLOOKUP('CSV VOLTA'!A91,Procv!$O$2:$P$89,2,0),0)</f>
        <v>0</v>
      </c>
    </row>
    <row r="92" spans="9:18" ht="20.100000000000001" customHeight="1" x14ac:dyDescent="0.25">
      <c r="Q92" s="110">
        <f>IFERROR(VLOOKUP('CSV IDA'!A92,Procv!$O$2:$P$89,2,0),0)</f>
        <v>0</v>
      </c>
      <c r="R92" s="115">
        <f>IFERROR(VLOOKUP('CSV VOLTA'!A92,Procv!$O$2:$P$89,2,0),0)</f>
        <v>0</v>
      </c>
    </row>
    <row r="93" spans="9:18" ht="20.100000000000001" customHeight="1" x14ac:dyDescent="0.25">
      <c r="Q93" s="110">
        <f>IFERROR(VLOOKUP('CSV IDA'!A93,Procv!$O$2:$P$89,2,0),0)</f>
        <v>0</v>
      </c>
      <c r="R93" s="115">
        <f>IFERROR(VLOOKUP('CSV VOLTA'!A93,Procv!$O$2:$P$89,2,0),0)</f>
        <v>0</v>
      </c>
    </row>
    <row r="94" spans="9:18" ht="20.100000000000001" customHeight="1" x14ac:dyDescent="0.25">
      <c r="Q94" s="110">
        <f>IFERROR(VLOOKUP('CSV IDA'!A94,Procv!$O$2:$P$89,2,0),0)</f>
        <v>0</v>
      </c>
      <c r="R94" s="115">
        <f>IFERROR(VLOOKUP('CSV VOLTA'!A94,Procv!$O$2:$P$89,2,0),0)</f>
        <v>0</v>
      </c>
    </row>
    <row r="95" spans="9:18" ht="20.100000000000001" customHeight="1" x14ac:dyDescent="0.25">
      <c r="Q95" s="110">
        <f>IFERROR(VLOOKUP('CSV IDA'!A95,Procv!$O$2:$P$89,2,0),0)</f>
        <v>0</v>
      </c>
      <c r="R95" s="115">
        <f>IFERROR(VLOOKUP('CSV VOLTA'!A95,Procv!$O$2:$P$89,2,0),0)</f>
        <v>0</v>
      </c>
    </row>
    <row r="96" spans="9:18" ht="20.100000000000001" customHeight="1" x14ac:dyDescent="0.25">
      <c r="Q96" s="110">
        <f>IFERROR(VLOOKUP('CSV IDA'!A96,Procv!$O$2:$P$89,2,0),0)</f>
        <v>0</v>
      </c>
      <c r="R96" s="115">
        <f>IFERROR(VLOOKUP('CSV VOLTA'!A96,Procv!$O$2:$P$89,2,0),0)</f>
        <v>0</v>
      </c>
    </row>
    <row r="97" spans="17:18" ht="20.100000000000001" customHeight="1" x14ac:dyDescent="0.25">
      <c r="Q97" s="110">
        <f>IFERROR(VLOOKUP('CSV IDA'!A97,Procv!$O$2:$P$89,2,0),0)</f>
        <v>0</v>
      </c>
      <c r="R97" s="115">
        <f>IFERROR(VLOOKUP('CSV VOLTA'!A97,Procv!$O$2:$P$89,2,0),0)</f>
        <v>0</v>
      </c>
    </row>
    <row r="98" spans="17:18" ht="20.100000000000001" customHeight="1" x14ac:dyDescent="0.25">
      <c r="Q98" s="110">
        <f>IFERROR(VLOOKUP('CSV IDA'!A98,Procv!$O$2:$P$89,2,0),0)</f>
        <v>0</v>
      </c>
      <c r="R98" s="115">
        <f>IFERROR(VLOOKUP('CSV VOLTA'!A98,Procv!$O$2:$P$89,2,0),0)</f>
        <v>0</v>
      </c>
    </row>
    <row r="99" spans="17:18" ht="20.100000000000001" customHeight="1" x14ac:dyDescent="0.25">
      <c r="Q99" s="110">
        <f>IFERROR(VLOOKUP('CSV IDA'!A99,Procv!$O$2:$P$89,2,0),0)</f>
        <v>0</v>
      </c>
      <c r="R99" s="115">
        <f>IFERROR(VLOOKUP('CSV VOLTA'!A99,Procv!$O$2:$P$89,2,0),0)</f>
        <v>0</v>
      </c>
    </row>
    <row r="100" spans="17:18" ht="20.100000000000001" customHeight="1" x14ac:dyDescent="0.25">
      <c r="Q100" s="110">
        <f>IFERROR(VLOOKUP('CSV IDA'!A100,Procv!$O$2:$P$89,2,0),0)</f>
        <v>0</v>
      </c>
      <c r="R100" s="115">
        <f>IFERROR(VLOOKUP('CSV VOLTA'!A100,Procv!$O$2:$P$89,2,0),0)</f>
        <v>0</v>
      </c>
    </row>
    <row r="101" spans="17:18" ht="20.100000000000001" customHeight="1" x14ac:dyDescent="0.25">
      <c r="Q101" s="110">
        <f>IFERROR(VLOOKUP('CSV IDA'!A101,Procv!$O$2:$P$89,2,0),0)</f>
        <v>0</v>
      </c>
      <c r="R101" s="115">
        <f>IFERROR(VLOOKUP('CSV VOLTA'!A101,Procv!$O$2:$P$89,2,0),0)</f>
        <v>0</v>
      </c>
    </row>
    <row r="102" spans="17:18" ht="20.100000000000001" customHeight="1" x14ac:dyDescent="0.25">
      <c r="Q102" s="110">
        <f>IFERROR(VLOOKUP('CSV IDA'!A102,Procv!$O$2:$P$89,2,0),0)</f>
        <v>0</v>
      </c>
      <c r="R102" s="115">
        <f>IFERROR(VLOOKUP('CSV VOLTA'!A102,Procv!$O$2:$P$89,2,0),0)</f>
        <v>0</v>
      </c>
    </row>
    <row r="103" spans="17:18" ht="20.100000000000001" customHeight="1" x14ac:dyDescent="0.25">
      <c r="Q103" s="110">
        <f>IFERROR(VLOOKUP('CSV IDA'!A103,Procv!$O$2:$P$89,2,0),0)</f>
        <v>0</v>
      </c>
      <c r="R103" s="115">
        <f>IFERROR(VLOOKUP('CSV VOLTA'!A103,Procv!$O$2:$P$89,2,0),0)</f>
        <v>0</v>
      </c>
    </row>
    <row r="104" spans="17:18" ht="20.100000000000001" customHeight="1" x14ac:dyDescent="0.25">
      <c r="Q104" s="110">
        <f>IFERROR(VLOOKUP('CSV IDA'!A104,Procv!$O$2:$P$89,2,0),0)</f>
        <v>0</v>
      </c>
      <c r="R104" s="115">
        <f>IFERROR(VLOOKUP('CSV VOLTA'!A104,Procv!$O$2:$P$89,2,0),0)</f>
        <v>0</v>
      </c>
    </row>
    <row r="105" spans="17:18" ht="20.100000000000001" customHeight="1" x14ac:dyDescent="0.25">
      <c r="Q105" s="110">
        <f>IFERROR(VLOOKUP('CSV IDA'!A105,Procv!$O$2:$P$89,2,0),0)</f>
        <v>0</v>
      </c>
      <c r="R105" s="115">
        <f>IFERROR(VLOOKUP('CSV VOLTA'!A105,Procv!$O$2:$P$89,2,0),0)</f>
        <v>0</v>
      </c>
    </row>
    <row r="106" spans="17:18" ht="20.100000000000001" customHeight="1" x14ac:dyDescent="0.25">
      <c r="Q106" s="110">
        <f>IFERROR(VLOOKUP('CSV IDA'!A106,Procv!$O$2:$P$89,2,0),0)</f>
        <v>0</v>
      </c>
      <c r="R106" s="115">
        <f>IFERROR(VLOOKUP('CSV VOLTA'!A106,Procv!$O$2:$P$89,2,0),0)</f>
        <v>0</v>
      </c>
    </row>
    <row r="107" spans="17:18" ht="20.100000000000001" customHeight="1" x14ac:dyDescent="0.25">
      <c r="Q107" s="110">
        <f>IFERROR(VLOOKUP('CSV IDA'!A107,Procv!$O$2:$P$89,2,0),0)</f>
        <v>0</v>
      </c>
      <c r="R107" s="115">
        <f>IFERROR(VLOOKUP('CSV VOLTA'!A107,Procv!$O$2:$P$89,2,0),0)</f>
        <v>0</v>
      </c>
    </row>
    <row r="108" spans="17:18" ht="20.100000000000001" customHeight="1" x14ac:dyDescent="0.25">
      <c r="Q108" s="110">
        <f>IFERROR(VLOOKUP('CSV IDA'!A108,Procv!$O$2:$P$89,2,0),0)</f>
        <v>0</v>
      </c>
      <c r="R108" s="115">
        <f>IFERROR(VLOOKUP('CSV VOLTA'!A108,Procv!$O$2:$P$89,2,0),0)</f>
        <v>0</v>
      </c>
    </row>
    <row r="109" spans="17:18" ht="20.100000000000001" customHeight="1" x14ac:dyDescent="0.25">
      <c r="Q109" s="110">
        <f>IFERROR(VLOOKUP('CSV IDA'!A109,Procv!$O$2:$P$89,2,0),0)</f>
        <v>0</v>
      </c>
      <c r="R109" s="115">
        <f>IFERROR(VLOOKUP('CSV VOLTA'!A109,Procv!$O$2:$P$89,2,0),0)</f>
        <v>0</v>
      </c>
    </row>
    <row r="110" spans="17:18" ht="20.100000000000001" customHeight="1" x14ac:dyDescent="0.25">
      <c r="Q110" s="110">
        <f>IFERROR(VLOOKUP('CSV IDA'!A110,Procv!$O$2:$P$89,2,0),0)</f>
        <v>0</v>
      </c>
      <c r="R110" s="115">
        <f>IFERROR(VLOOKUP('CSV VOLTA'!A110,Procv!$O$2:$P$89,2,0),0)</f>
        <v>0</v>
      </c>
    </row>
    <row r="111" spans="17:18" ht="20.100000000000001" customHeight="1" x14ac:dyDescent="0.25">
      <c r="Q111" s="110">
        <f>IFERROR(VLOOKUP('CSV IDA'!A111,Procv!$O$2:$P$89,2,0),0)</f>
        <v>0</v>
      </c>
      <c r="R111" s="115">
        <f>IFERROR(VLOOKUP('CSV VOLTA'!A111,Procv!$O$2:$P$89,2,0),0)</f>
        <v>0</v>
      </c>
    </row>
    <row r="112" spans="17:18" ht="20.100000000000001" customHeight="1" x14ac:dyDescent="0.25">
      <c r="Q112" s="110">
        <f>IFERROR(VLOOKUP('CSV IDA'!A112,Procv!$O$2:$P$89,2,0),0)</f>
        <v>0</v>
      </c>
      <c r="R112" s="115">
        <f>IFERROR(VLOOKUP('CSV VOLTA'!A112,Procv!$O$2:$P$89,2,0),0)</f>
        <v>0</v>
      </c>
    </row>
    <row r="113" spans="17:18" ht="20.100000000000001" customHeight="1" x14ac:dyDescent="0.25">
      <c r="Q113" s="110">
        <f>IFERROR(VLOOKUP('CSV IDA'!A113,Procv!$O$2:$P$89,2,0),0)</f>
        <v>0</v>
      </c>
      <c r="R113" s="115">
        <f>IFERROR(VLOOKUP('CSV VOLTA'!A113,Procv!$O$2:$P$89,2,0),0)</f>
        <v>0</v>
      </c>
    </row>
    <row r="114" spans="17:18" ht="20.100000000000001" customHeight="1" x14ac:dyDescent="0.25">
      <c r="Q114" s="110">
        <f>IFERROR(VLOOKUP('CSV IDA'!A114,Procv!$O$2:$P$89,2,0),0)</f>
        <v>0</v>
      </c>
      <c r="R114" s="115">
        <f>IFERROR(VLOOKUP('CSV VOLTA'!A114,Procv!$O$2:$P$89,2,0),0)</f>
        <v>0</v>
      </c>
    </row>
    <row r="115" spans="17:18" ht="20.100000000000001" customHeight="1" x14ac:dyDescent="0.25">
      <c r="Q115" s="110">
        <f>IFERROR(VLOOKUP('CSV IDA'!A115,Procv!$O$2:$P$89,2,0),0)</f>
        <v>0</v>
      </c>
      <c r="R115" s="115">
        <f>IFERROR(VLOOKUP('CSV VOLTA'!A115,Procv!$O$2:$P$89,2,0),0)</f>
        <v>0</v>
      </c>
    </row>
    <row r="116" spans="17:18" ht="20.100000000000001" customHeight="1" x14ac:dyDescent="0.25">
      <c r="Q116" s="110">
        <f>IFERROR(VLOOKUP('CSV IDA'!A116,Procv!$O$2:$P$89,2,0),0)</f>
        <v>0</v>
      </c>
      <c r="R116" s="115">
        <f>IFERROR(VLOOKUP('CSV VOLTA'!A116,Procv!$O$2:$P$89,2,0),0)</f>
        <v>0</v>
      </c>
    </row>
    <row r="117" spans="17:18" ht="20.100000000000001" customHeight="1" x14ac:dyDescent="0.25">
      <c r="Q117" s="110">
        <f>IFERROR(VLOOKUP('CSV IDA'!A117,Procv!$O$2:$P$89,2,0),0)</f>
        <v>0</v>
      </c>
      <c r="R117" s="115">
        <f>IFERROR(VLOOKUP('CSV VOLTA'!A117,Procv!$O$2:$P$89,2,0),0)</f>
        <v>0</v>
      </c>
    </row>
    <row r="118" spans="17:18" ht="20.100000000000001" customHeight="1" x14ac:dyDescent="0.25">
      <c r="Q118" s="110">
        <f>IFERROR(VLOOKUP('CSV IDA'!A118,Procv!$O$2:$P$89,2,0),0)</f>
        <v>0</v>
      </c>
      <c r="R118" s="115">
        <f>IFERROR(VLOOKUP('CSV VOLTA'!A118,Procv!$O$2:$P$89,2,0),0)</f>
        <v>0</v>
      </c>
    </row>
    <row r="119" spans="17:18" ht="20.100000000000001" customHeight="1" x14ac:dyDescent="0.25">
      <c r="Q119" s="110">
        <f>IFERROR(VLOOKUP('CSV IDA'!A119,Procv!$O$2:$P$89,2,0),0)</f>
        <v>0</v>
      </c>
      <c r="R119" s="115">
        <f>IFERROR(VLOOKUP('CSV VOLTA'!A119,Procv!$O$2:$P$89,2,0),0)</f>
        <v>0</v>
      </c>
    </row>
    <row r="120" spans="17:18" ht="20.100000000000001" customHeight="1" x14ac:dyDescent="0.25">
      <c r="Q120" s="110">
        <f>IFERROR(VLOOKUP('CSV IDA'!A120,Procv!$O$2:$P$89,2,0),0)</f>
        <v>0</v>
      </c>
      <c r="R120" s="115">
        <f>IFERROR(VLOOKUP('CSV VOLTA'!A120,Procv!$O$2:$P$89,2,0),0)</f>
        <v>0</v>
      </c>
    </row>
    <row r="121" spans="17:18" ht="20.100000000000001" customHeight="1" x14ac:dyDescent="0.25">
      <c r="Q121" s="110">
        <f>IFERROR(VLOOKUP('CSV IDA'!A121,Procv!$O$2:$P$89,2,0),0)</f>
        <v>0</v>
      </c>
      <c r="R121" s="115">
        <f>IFERROR(VLOOKUP('CSV VOLTA'!A121,Procv!$O$2:$P$89,2,0),0)</f>
        <v>0</v>
      </c>
    </row>
    <row r="122" spans="17:18" ht="20.100000000000001" customHeight="1" x14ac:dyDescent="0.25">
      <c r="Q122" s="110">
        <f>IFERROR(VLOOKUP('CSV IDA'!A122,Procv!$O$2:$P$89,2,0),0)</f>
        <v>0</v>
      </c>
      <c r="R122" s="115">
        <f>IFERROR(VLOOKUP('CSV VOLTA'!A122,Procv!$O$2:$P$89,2,0),0)</f>
        <v>0</v>
      </c>
    </row>
    <row r="123" spans="17:18" ht="20.100000000000001" customHeight="1" x14ac:dyDescent="0.25">
      <c r="Q123" s="110">
        <f>IFERROR(VLOOKUP('CSV IDA'!A123,Procv!$O$2:$P$89,2,0),0)</f>
        <v>0</v>
      </c>
      <c r="R123" s="115">
        <f>IFERROR(VLOOKUP('CSV VOLTA'!A123,Procv!$O$2:$P$89,2,0),0)</f>
        <v>0</v>
      </c>
    </row>
    <row r="124" spans="17:18" ht="20.100000000000001" customHeight="1" x14ac:dyDescent="0.25">
      <c r="Q124" s="110">
        <f>IFERROR(VLOOKUP('CSV IDA'!A124,Procv!$O$2:$P$89,2,0),0)</f>
        <v>0</v>
      </c>
      <c r="R124" s="115">
        <f>IFERROR(VLOOKUP('CSV VOLTA'!A124,Procv!$O$2:$P$89,2,0),0)</f>
        <v>0</v>
      </c>
    </row>
    <row r="125" spans="17:18" ht="20.100000000000001" customHeight="1" x14ac:dyDescent="0.25">
      <c r="Q125" s="110">
        <f>IFERROR(VLOOKUP('CSV IDA'!A125,Procv!$O$2:$P$89,2,0),0)</f>
        <v>0</v>
      </c>
      <c r="R125" s="115">
        <f>IFERROR(VLOOKUP('CSV VOLTA'!A125,Procv!$O$2:$P$89,2,0),0)</f>
        <v>0</v>
      </c>
    </row>
    <row r="126" spans="17:18" ht="20.100000000000001" customHeight="1" x14ac:dyDescent="0.25">
      <c r="Q126" s="110">
        <f>IFERROR(VLOOKUP('CSV IDA'!A126,Procv!$O$2:$P$89,2,0),0)</f>
        <v>0</v>
      </c>
      <c r="R126" s="115">
        <f>IFERROR(VLOOKUP('CSV VOLTA'!A126,Procv!$O$2:$P$89,2,0),0)</f>
        <v>0</v>
      </c>
    </row>
    <row r="127" spans="17:18" ht="20.100000000000001" customHeight="1" x14ac:dyDescent="0.25">
      <c r="Q127" s="110">
        <f>IFERROR(VLOOKUP('CSV IDA'!A127,Procv!$O$2:$P$89,2,0),0)</f>
        <v>0</v>
      </c>
      <c r="R127" s="115">
        <f>IFERROR(VLOOKUP('CSV VOLTA'!A127,Procv!$O$2:$P$89,2,0),0)</f>
        <v>0</v>
      </c>
    </row>
    <row r="128" spans="17:18" ht="20.100000000000001" customHeight="1" x14ac:dyDescent="0.25">
      <c r="Q128" s="110">
        <f>IFERROR(VLOOKUP('CSV IDA'!A128,Procv!$O$2:$P$89,2,0),0)</f>
        <v>0</v>
      </c>
      <c r="R128" s="115">
        <f>IFERROR(VLOOKUP('CSV VOLTA'!A128,Procv!$O$2:$P$89,2,0),0)</f>
        <v>0</v>
      </c>
    </row>
    <row r="129" spans="17:18" ht="20.100000000000001" customHeight="1" x14ac:dyDescent="0.25">
      <c r="Q129" s="110">
        <f>IFERROR(VLOOKUP('CSV IDA'!A129,Procv!$O$2:$P$89,2,0),0)</f>
        <v>0</v>
      </c>
      <c r="R129" s="115">
        <f>IFERROR(VLOOKUP('CSV VOLTA'!A129,Procv!$O$2:$P$89,2,0),0)</f>
        <v>0</v>
      </c>
    </row>
    <row r="130" spans="17:18" ht="20.100000000000001" customHeight="1" x14ac:dyDescent="0.25">
      <c r="Q130" s="110">
        <f>IFERROR(VLOOKUP('CSV IDA'!A130,Procv!$O$2:$P$89,2,0),0)</f>
        <v>0</v>
      </c>
      <c r="R130" s="115">
        <f>IFERROR(VLOOKUP('CSV VOLTA'!A130,Procv!$O$2:$P$89,2,0),0)</f>
        <v>0</v>
      </c>
    </row>
    <row r="131" spans="17:18" ht="20.100000000000001" customHeight="1" x14ac:dyDescent="0.25">
      <c r="Q131" s="110">
        <f>IFERROR(VLOOKUP('CSV IDA'!A131,Procv!$O$2:$P$89,2,0),0)</f>
        <v>0</v>
      </c>
      <c r="R131" s="115">
        <f>IFERROR(VLOOKUP('CSV VOLTA'!A131,Procv!$O$2:$P$89,2,0),0)</f>
        <v>0</v>
      </c>
    </row>
    <row r="132" spans="17:18" ht="20.100000000000001" customHeight="1" x14ac:dyDescent="0.25">
      <c r="Q132" s="110">
        <f>IFERROR(VLOOKUP('CSV IDA'!A132,Procv!$O$2:$P$89,2,0),0)</f>
        <v>0</v>
      </c>
      <c r="R132" s="115">
        <f>IFERROR(VLOOKUP('CSV VOLTA'!A132,Procv!$O$2:$P$89,2,0),0)</f>
        <v>0</v>
      </c>
    </row>
    <row r="133" spans="17:18" ht="20.100000000000001" customHeight="1" x14ac:dyDescent="0.25">
      <c r="Q133" s="110">
        <f>IFERROR(VLOOKUP('CSV IDA'!A133,Procv!$O$2:$P$89,2,0),0)</f>
        <v>0</v>
      </c>
      <c r="R133" s="115">
        <f>IFERROR(VLOOKUP('CSV VOLTA'!A133,Procv!$O$2:$P$89,2,0),0)</f>
        <v>0</v>
      </c>
    </row>
    <row r="134" spans="17:18" ht="20.100000000000001" customHeight="1" x14ac:dyDescent="0.25">
      <c r="Q134" s="110">
        <f>IFERROR(VLOOKUP('CSV IDA'!A134,Procv!$O$2:$P$89,2,0),0)</f>
        <v>0</v>
      </c>
      <c r="R134" s="115">
        <f>IFERROR(VLOOKUP('CSV VOLTA'!A134,Procv!$O$2:$P$89,2,0),0)</f>
        <v>0</v>
      </c>
    </row>
    <row r="135" spans="17:18" ht="20.100000000000001" customHeight="1" x14ac:dyDescent="0.25">
      <c r="Q135" s="110">
        <f>IFERROR(VLOOKUP('CSV IDA'!A135,Procv!$O$2:$P$89,2,0),0)</f>
        <v>0</v>
      </c>
      <c r="R135" s="115">
        <f>IFERROR(VLOOKUP('CSV VOLTA'!A135,Procv!$O$2:$P$89,2,0),0)</f>
        <v>0</v>
      </c>
    </row>
    <row r="136" spans="17:18" ht="20.100000000000001" customHeight="1" x14ac:dyDescent="0.25">
      <c r="Q136" s="110">
        <f>IFERROR(VLOOKUP('CSV IDA'!A136,Procv!$O$2:$P$89,2,0),0)</f>
        <v>0</v>
      </c>
      <c r="R136" s="115">
        <f>IFERROR(VLOOKUP('CSV VOLTA'!A136,Procv!$O$2:$P$89,2,0),0)</f>
        <v>0</v>
      </c>
    </row>
    <row r="137" spans="17:18" ht="20.100000000000001" customHeight="1" x14ac:dyDescent="0.25">
      <c r="Q137" s="110">
        <f>IFERROR(VLOOKUP('CSV IDA'!A137,Procv!$O$2:$P$89,2,0),0)</f>
        <v>0</v>
      </c>
      <c r="R137" s="115">
        <f>IFERROR(VLOOKUP('CSV VOLTA'!A137,Procv!$O$2:$P$89,2,0),0)</f>
        <v>0</v>
      </c>
    </row>
    <row r="138" spans="17:18" ht="20.100000000000001" customHeight="1" x14ac:dyDescent="0.25">
      <c r="Q138" s="110">
        <f>IFERROR(VLOOKUP('CSV IDA'!A138,Procv!$O$2:$P$89,2,0),0)</f>
        <v>0</v>
      </c>
      <c r="R138" s="115">
        <f>IFERROR(VLOOKUP('CSV VOLTA'!A138,Procv!$O$2:$P$89,2,0),0)</f>
        <v>0</v>
      </c>
    </row>
    <row r="139" spans="17:18" ht="20.100000000000001" customHeight="1" x14ac:dyDescent="0.25">
      <c r="Q139" s="110">
        <f>IFERROR(VLOOKUP('CSV IDA'!A139,Procv!$O$2:$P$89,2,0),0)</f>
        <v>0</v>
      </c>
      <c r="R139" s="115">
        <f>IFERROR(VLOOKUP('CSV VOLTA'!A139,Procv!$O$2:$P$89,2,0),0)</f>
        <v>0</v>
      </c>
    </row>
    <row r="140" spans="17:18" ht="20.100000000000001" customHeight="1" x14ac:dyDescent="0.25">
      <c r="Q140" s="110">
        <f>IFERROR(VLOOKUP('CSV IDA'!A140,Procv!$O$2:$P$89,2,0),0)</f>
        <v>0</v>
      </c>
      <c r="R140" s="115">
        <f>IFERROR(VLOOKUP('CSV VOLTA'!A140,Procv!$O$2:$P$89,2,0),0)</f>
        <v>0</v>
      </c>
    </row>
    <row r="141" spans="17:18" ht="20.100000000000001" customHeight="1" x14ac:dyDescent="0.25">
      <c r="Q141" s="110">
        <f>IFERROR(VLOOKUP('CSV IDA'!A141,Procv!$O$2:$P$89,2,0),0)</f>
        <v>0</v>
      </c>
      <c r="R141" s="115">
        <f>IFERROR(VLOOKUP('CSV VOLTA'!A141,Procv!$O$2:$P$89,2,0),0)</f>
        <v>0</v>
      </c>
    </row>
    <row r="142" spans="17:18" ht="20.100000000000001" customHeight="1" x14ac:dyDescent="0.25">
      <c r="Q142" s="110">
        <f>IFERROR(VLOOKUP('CSV IDA'!A142,Procv!$O$2:$P$89,2,0),0)</f>
        <v>0</v>
      </c>
      <c r="R142" s="115">
        <f>IFERROR(VLOOKUP('CSV VOLTA'!A142,Procv!$O$2:$P$89,2,0),0)</f>
        <v>0</v>
      </c>
    </row>
    <row r="143" spans="17:18" ht="20.100000000000001" customHeight="1" x14ac:dyDescent="0.25">
      <c r="Q143" s="110">
        <f>IFERROR(VLOOKUP('CSV IDA'!A143,Procv!$O$2:$P$89,2,0),0)</f>
        <v>0</v>
      </c>
      <c r="R143" s="115">
        <f>IFERROR(VLOOKUP('CSV VOLTA'!A143,Procv!$O$2:$P$89,2,0),0)</f>
        <v>0</v>
      </c>
    </row>
    <row r="144" spans="17:18" ht="20.100000000000001" customHeight="1" x14ac:dyDescent="0.25">
      <c r="Q144" s="110">
        <f>IFERROR(VLOOKUP('CSV IDA'!A144,Procv!$O$2:$P$89,2,0),0)</f>
        <v>0</v>
      </c>
      <c r="R144" s="115">
        <f>IFERROR(VLOOKUP('CSV VOLTA'!A144,Procv!$O$2:$P$89,2,0),0)</f>
        <v>0</v>
      </c>
    </row>
    <row r="145" spans="17:18" ht="20.100000000000001" customHeight="1" x14ac:dyDescent="0.25">
      <c r="Q145" s="110">
        <f>IFERROR(VLOOKUP('CSV IDA'!A145,Procv!$O$2:$P$89,2,0),0)</f>
        <v>0</v>
      </c>
      <c r="R145" s="115">
        <f>IFERROR(VLOOKUP('CSV VOLTA'!A145,Procv!$O$2:$P$89,2,0),0)</f>
        <v>0</v>
      </c>
    </row>
    <row r="146" spans="17:18" ht="20.100000000000001" customHeight="1" x14ac:dyDescent="0.25">
      <c r="Q146" s="110">
        <f>IFERROR(VLOOKUP('CSV IDA'!A146,Procv!$O$2:$P$89,2,0),0)</f>
        <v>0</v>
      </c>
      <c r="R146" s="115">
        <f>IFERROR(VLOOKUP('CSV VOLTA'!A146,Procv!$O$2:$P$89,2,0),0)</f>
        <v>0</v>
      </c>
    </row>
    <row r="147" spans="17:18" ht="20.100000000000001" customHeight="1" x14ac:dyDescent="0.25">
      <c r="Q147" s="110">
        <f>IFERROR(VLOOKUP('CSV IDA'!A147,Procv!$O$2:$P$89,2,0),0)</f>
        <v>0</v>
      </c>
      <c r="R147" s="115">
        <f>IFERROR(VLOOKUP('CSV VOLTA'!A147,Procv!$O$2:$P$89,2,0),0)</f>
        <v>0</v>
      </c>
    </row>
    <row r="148" spans="17:18" ht="20.100000000000001" customHeight="1" x14ac:dyDescent="0.25">
      <c r="Q148" s="110">
        <f>IFERROR(VLOOKUP('CSV IDA'!A148,Procv!$O$2:$P$89,2,0),0)</f>
        <v>0</v>
      </c>
      <c r="R148" s="115">
        <f>IFERROR(VLOOKUP('CSV VOLTA'!A148,Procv!$O$2:$P$89,2,0),0)</f>
        <v>0</v>
      </c>
    </row>
    <row r="149" spans="17:18" ht="20.100000000000001" customHeight="1" x14ac:dyDescent="0.25">
      <c r="Q149" s="110">
        <f>IFERROR(VLOOKUP('CSV IDA'!A149,Procv!$O$2:$P$89,2,0),0)</f>
        <v>0</v>
      </c>
      <c r="R149" s="115">
        <f>IFERROR(VLOOKUP('CSV VOLTA'!A149,Procv!$O$2:$P$89,2,0),0)</f>
        <v>0</v>
      </c>
    </row>
    <row r="150" spans="17:18" ht="20.100000000000001" customHeight="1" x14ac:dyDescent="0.25">
      <c r="Q150" s="110">
        <f>IFERROR(VLOOKUP('CSV IDA'!A150,Procv!$O$2:$P$89,2,0),0)</f>
        <v>0</v>
      </c>
      <c r="R150" s="115">
        <f>IFERROR(VLOOKUP('CSV VOLTA'!A150,Procv!$O$2:$P$89,2,0),0)</f>
        <v>0</v>
      </c>
    </row>
    <row r="151" spans="17:18" ht="20.100000000000001" customHeight="1" x14ac:dyDescent="0.25">
      <c r="Q151" s="110">
        <f>IFERROR(VLOOKUP('CSV IDA'!A151,Procv!$O$2:$P$89,2,0),0)</f>
        <v>0</v>
      </c>
      <c r="R151" s="115">
        <f>IFERROR(VLOOKUP('CSV VOLTA'!A151,Procv!$O$2:$P$89,2,0),0)</f>
        <v>0</v>
      </c>
    </row>
    <row r="152" spans="17:18" ht="20.100000000000001" customHeight="1" x14ac:dyDescent="0.25">
      <c r="Q152" s="110">
        <f>IFERROR(VLOOKUP('CSV IDA'!A152,Procv!$O$2:$P$89,2,0),0)</f>
        <v>0</v>
      </c>
      <c r="R152" s="115">
        <f>IFERROR(VLOOKUP('CSV VOLTA'!A152,Procv!$O$2:$P$89,2,0),0)</f>
        <v>0</v>
      </c>
    </row>
    <row r="153" spans="17:18" ht="20.100000000000001" customHeight="1" x14ac:dyDescent="0.25">
      <c r="Q153" s="110">
        <f>IFERROR(VLOOKUP('CSV IDA'!A153,Procv!$O$2:$P$89,2,0),0)</f>
        <v>0</v>
      </c>
      <c r="R153" s="115">
        <f>IFERROR(VLOOKUP('CSV VOLTA'!A153,Procv!$O$2:$P$89,2,0),0)</f>
        <v>0</v>
      </c>
    </row>
    <row r="154" spans="17:18" ht="20.100000000000001" customHeight="1" x14ac:dyDescent="0.25">
      <c r="Q154" s="110">
        <f>IFERROR(VLOOKUP('CSV IDA'!A154,Procv!$O$2:$P$89,2,0),0)</f>
        <v>0</v>
      </c>
      <c r="R154" s="115">
        <f>IFERROR(VLOOKUP('CSV VOLTA'!A154,Procv!$O$2:$P$89,2,0),0)</f>
        <v>0</v>
      </c>
    </row>
    <row r="155" spans="17:18" ht="20.100000000000001" customHeight="1" x14ac:dyDescent="0.25">
      <c r="Q155" s="110">
        <f>IFERROR(VLOOKUP('CSV IDA'!A155,Procv!$O$2:$P$89,2,0),0)</f>
        <v>0</v>
      </c>
      <c r="R155" s="115">
        <f>IFERROR(VLOOKUP('CSV VOLTA'!A155,Procv!$O$2:$P$89,2,0),0)</f>
        <v>0</v>
      </c>
    </row>
    <row r="156" spans="17:18" ht="20.100000000000001" customHeight="1" x14ac:dyDescent="0.25">
      <c r="Q156" s="110">
        <f>IFERROR(VLOOKUP('CSV IDA'!A156,Procv!$O$2:$P$89,2,0),0)</f>
        <v>0</v>
      </c>
      <c r="R156" s="115">
        <f>IFERROR(VLOOKUP('CSV VOLTA'!A156,Procv!$O$2:$P$89,2,0),0)</f>
        <v>0</v>
      </c>
    </row>
    <row r="157" spans="17:18" ht="20.100000000000001" customHeight="1" x14ac:dyDescent="0.25">
      <c r="Q157" s="110">
        <f>IFERROR(VLOOKUP('CSV IDA'!A157,Procv!$O$2:$P$89,2,0),0)</f>
        <v>0</v>
      </c>
      <c r="R157" s="115">
        <f>IFERROR(VLOOKUP('CSV VOLTA'!A157,Procv!$O$2:$P$89,2,0),0)</f>
        <v>0</v>
      </c>
    </row>
    <row r="158" spans="17:18" ht="20.100000000000001" customHeight="1" x14ac:dyDescent="0.25">
      <c r="Q158" s="110">
        <f>IFERROR(VLOOKUP('CSV IDA'!A158,Procv!$O$2:$P$89,2,0),0)</f>
        <v>0</v>
      </c>
      <c r="R158" s="115">
        <f>IFERROR(VLOOKUP('CSV VOLTA'!A158,Procv!$O$2:$P$89,2,0),0)</f>
        <v>0</v>
      </c>
    </row>
    <row r="159" spans="17:18" ht="20.100000000000001" customHeight="1" x14ac:dyDescent="0.25">
      <c r="Q159" s="110">
        <f>IFERROR(VLOOKUP('CSV IDA'!A159,Procv!$O$2:$P$89,2,0),0)</f>
        <v>0</v>
      </c>
      <c r="R159" s="115">
        <f>IFERROR(VLOOKUP('CSV VOLTA'!A159,Procv!$O$2:$P$89,2,0),0)</f>
        <v>0</v>
      </c>
    </row>
    <row r="160" spans="17:18" ht="20.100000000000001" customHeight="1" x14ac:dyDescent="0.25">
      <c r="Q160" s="110">
        <f>IFERROR(VLOOKUP('CSV IDA'!A160,Procv!$O$2:$P$89,2,0),0)</f>
        <v>0</v>
      </c>
      <c r="R160" s="115">
        <f>IFERROR(VLOOKUP('CSV VOLTA'!A160,Procv!$O$2:$P$89,2,0),0)</f>
        <v>0</v>
      </c>
    </row>
    <row r="161" spans="17:18" ht="20.100000000000001" customHeight="1" x14ac:dyDescent="0.25">
      <c r="Q161" s="110">
        <f>IFERROR(VLOOKUP('CSV IDA'!A161,Procv!$O$2:$P$89,2,0),0)</f>
        <v>0</v>
      </c>
      <c r="R161" s="115">
        <f>IFERROR(VLOOKUP('CSV VOLTA'!A161,Procv!$O$2:$P$89,2,0),0)</f>
        <v>0</v>
      </c>
    </row>
    <row r="162" spans="17:18" ht="20.100000000000001" customHeight="1" x14ac:dyDescent="0.25">
      <c r="Q162" s="110">
        <f>IFERROR(VLOOKUP('CSV IDA'!A162,Procv!$O$2:$P$89,2,0),0)</f>
        <v>0</v>
      </c>
      <c r="R162" s="115">
        <f>IFERROR(VLOOKUP('CSV VOLTA'!A162,Procv!$O$2:$P$89,2,0),0)</f>
        <v>0</v>
      </c>
    </row>
    <row r="163" spans="17:18" ht="20.100000000000001" customHeight="1" x14ac:dyDescent="0.25">
      <c r="Q163" s="110">
        <f>IFERROR(VLOOKUP('CSV IDA'!A163,Procv!$O$2:$P$89,2,0),0)</f>
        <v>0</v>
      </c>
      <c r="R163" s="115">
        <f>IFERROR(VLOOKUP('CSV VOLTA'!A163,Procv!$O$2:$P$89,2,0),0)</f>
        <v>0</v>
      </c>
    </row>
    <row r="164" spans="17:18" ht="20.100000000000001" customHeight="1" x14ac:dyDescent="0.25">
      <c r="Q164" s="110">
        <f>IFERROR(VLOOKUP('CSV IDA'!A164,Procv!$O$2:$P$89,2,0),0)</f>
        <v>0</v>
      </c>
      <c r="R164" s="115">
        <f>IFERROR(VLOOKUP('CSV VOLTA'!A164,Procv!$O$2:$P$89,2,0),0)</f>
        <v>0</v>
      </c>
    </row>
    <row r="165" spans="17:18" ht="20.100000000000001" customHeight="1" x14ac:dyDescent="0.25">
      <c r="Q165" s="110">
        <f>IFERROR(VLOOKUP('CSV IDA'!A165,Procv!$O$2:$P$89,2,0),0)</f>
        <v>0</v>
      </c>
      <c r="R165" s="115">
        <f>IFERROR(VLOOKUP('CSV VOLTA'!A165,Procv!$O$2:$P$89,2,0),0)</f>
        <v>0</v>
      </c>
    </row>
    <row r="166" spans="17:18" ht="20.100000000000001" customHeight="1" x14ac:dyDescent="0.25">
      <c r="Q166" s="110">
        <f>IFERROR(VLOOKUP('CSV IDA'!A166,Procv!$O$2:$P$89,2,0),0)</f>
        <v>0</v>
      </c>
      <c r="R166" s="115">
        <f>IFERROR(VLOOKUP('CSV VOLTA'!A166,Procv!$O$2:$P$89,2,0),0)</f>
        <v>0</v>
      </c>
    </row>
    <row r="167" spans="17:18" ht="20.100000000000001" customHeight="1" x14ac:dyDescent="0.25">
      <c r="Q167" s="110">
        <f>IFERROR(VLOOKUP('CSV IDA'!A167,Procv!$O$2:$P$89,2,0),0)</f>
        <v>0</v>
      </c>
      <c r="R167" s="115">
        <f>IFERROR(VLOOKUP('CSV VOLTA'!A167,Procv!$O$2:$P$89,2,0),0)</f>
        <v>0</v>
      </c>
    </row>
    <row r="168" spans="17:18" ht="20.100000000000001" customHeight="1" x14ac:dyDescent="0.25">
      <c r="Q168" s="110">
        <f>IFERROR(VLOOKUP('CSV IDA'!A168,Procv!$O$2:$P$89,2,0),0)</f>
        <v>0</v>
      </c>
      <c r="R168" s="115">
        <f>IFERROR(VLOOKUP('CSV VOLTA'!A168,Procv!$O$2:$P$89,2,0),0)</f>
        <v>0</v>
      </c>
    </row>
    <row r="169" spans="17:18" ht="20.100000000000001" customHeight="1" x14ac:dyDescent="0.25">
      <c r="Q169" s="110">
        <f>IFERROR(VLOOKUP('CSV IDA'!A169,Procv!$O$2:$P$89,2,0),0)</f>
        <v>0</v>
      </c>
      <c r="R169" s="115">
        <f>IFERROR(VLOOKUP('CSV VOLTA'!A169,Procv!$O$2:$P$89,2,0),0)</f>
        <v>0</v>
      </c>
    </row>
    <row r="170" spans="17:18" ht="20.100000000000001" customHeight="1" x14ac:dyDescent="0.25">
      <c r="Q170" s="110">
        <f>IFERROR(VLOOKUP('CSV IDA'!A170,Procv!$O$2:$P$89,2,0),0)</f>
        <v>0</v>
      </c>
      <c r="R170" s="115">
        <f>IFERROR(VLOOKUP('CSV VOLTA'!A170,Procv!$O$2:$P$89,2,0),0)</f>
        <v>0</v>
      </c>
    </row>
    <row r="171" spans="17:18" ht="20.100000000000001" customHeight="1" x14ac:dyDescent="0.25">
      <c r="Q171" s="110">
        <f>IFERROR(VLOOKUP('CSV IDA'!A171,Procv!$O$2:$P$89,2,0),0)</f>
        <v>0</v>
      </c>
      <c r="R171" s="115">
        <f>IFERROR(VLOOKUP('CSV VOLTA'!A171,Procv!$O$2:$P$89,2,0),0)</f>
        <v>0</v>
      </c>
    </row>
    <row r="172" spans="17:18" ht="20.100000000000001" customHeight="1" x14ac:dyDescent="0.25">
      <c r="Q172" s="110">
        <f>IFERROR(VLOOKUP('CSV IDA'!A172,Procv!$O$2:$P$89,2,0),0)</f>
        <v>0</v>
      </c>
      <c r="R172" s="115">
        <f>IFERROR(VLOOKUP('CSV VOLTA'!A172,Procv!$O$2:$P$89,2,0),0)</f>
        <v>0</v>
      </c>
    </row>
    <row r="173" spans="17:18" ht="20.100000000000001" customHeight="1" x14ac:dyDescent="0.25">
      <c r="Q173" s="110">
        <f>IFERROR(VLOOKUP('CSV IDA'!A173,Procv!$O$2:$P$89,2,0),0)</f>
        <v>0</v>
      </c>
      <c r="R173" s="115">
        <f>IFERROR(VLOOKUP('CSV VOLTA'!A173,Procv!$O$2:$P$89,2,0),0)</f>
        <v>0</v>
      </c>
    </row>
    <row r="174" spans="17:18" ht="20.100000000000001" customHeight="1" x14ac:dyDescent="0.25">
      <c r="Q174" s="110">
        <f>IFERROR(VLOOKUP('CSV IDA'!A174,Procv!$O$2:$P$89,2,0),0)</f>
        <v>0</v>
      </c>
      <c r="R174" s="115">
        <f>IFERROR(VLOOKUP('CSV VOLTA'!A174,Procv!$O$2:$P$89,2,0),0)</f>
        <v>0</v>
      </c>
    </row>
    <row r="175" spans="17:18" ht="20.100000000000001" customHeight="1" x14ac:dyDescent="0.25">
      <c r="Q175" s="110">
        <f>IFERROR(VLOOKUP('CSV IDA'!A175,Procv!$O$2:$P$89,2,0),0)</f>
        <v>0</v>
      </c>
      <c r="R175" s="115">
        <f>IFERROR(VLOOKUP('CSV VOLTA'!A175,Procv!$O$2:$P$89,2,0),0)</f>
        <v>0</v>
      </c>
    </row>
    <row r="176" spans="17:18" ht="20.100000000000001" customHeight="1" x14ac:dyDescent="0.25">
      <c r="Q176" s="110">
        <f>IFERROR(VLOOKUP('CSV IDA'!A176,Procv!$O$2:$P$89,2,0),0)</f>
        <v>0</v>
      </c>
      <c r="R176" s="115">
        <f>IFERROR(VLOOKUP('CSV VOLTA'!A176,Procv!$O$2:$P$89,2,0),0)</f>
        <v>0</v>
      </c>
    </row>
    <row r="177" spans="17:18" ht="20.100000000000001" customHeight="1" x14ac:dyDescent="0.25">
      <c r="Q177" s="110">
        <f>IFERROR(VLOOKUP('CSV IDA'!A177,Procv!$O$2:$P$89,2,0),0)</f>
        <v>0</v>
      </c>
      <c r="R177" s="115">
        <f>IFERROR(VLOOKUP('CSV VOLTA'!A177,Procv!$O$2:$P$89,2,0),0)</f>
        <v>0</v>
      </c>
    </row>
    <row r="178" spans="17:18" ht="20.100000000000001" customHeight="1" x14ac:dyDescent="0.25">
      <c r="Q178" s="110">
        <f>IFERROR(VLOOKUP('CSV IDA'!A178,Procv!$O$2:$P$89,2,0),0)</f>
        <v>0</v>
      </c>
      <c r="R178" s="115">
        <f>IFERROR(VLOOKUP('CSV VOLTA'!A178,Procv!$O$2:$P$89,2,0),0)</f>
        <v>0</v>
      </c>
    </row>
    <row r="179" spans="17:18" ht="20.100000000000001" customHeight="1" x14ac:dyDescent="0.25">
      <c r="Q179" s="110">
        <f>IFERROR(VLOOKUP('CSV IDA'!A179,Procv!$O$2:$P$89,2,0),0)</f>
        <v>0</v>
      </c>
      <c r="R179" s="115">
        <f>IFERROR(VLOOKUP('CSV VOLTA'!A179,Procv!$O$2:$P$89,2,0),0)</f>
        <v>0</v>
      </c>
    </row>
    <row r="180" spans="17:18" ht="20.100000000000001" customHeight="1" x14ac:dyDescent="0.25">
      <c r="Q180" s="110">
        <f>IFERROR(VLOOKUP('CSV IDA'!A180,Procv!$O$2:$P$89,2,0),0)</f>
        <v>0</v>
      </c>
      <c r="R180" s="115">
        <f>IFERROR(VLOOKUP('CSV VOLTA'!A180,Procv!$O$2:$P$89,2,0),0)</f>
        <v>0</v>
      </c>
    </row>
    <row r="181" spans="17:18" ht="20.100000000000001" customHeight="1" x14ac:dyDescent="0.25">
      <c r="Q181" s="110">
        <f>IFERROR(VLOOKUP('CSV IDA'!A181,Procv!$O$2:$P$89,2,0),0)</f>
        <v>0</v>
      </c>
      <c r="R181" s="115">
        <f>IFERROR(VLOOKUP('CSV VOLTA'!A181,Procv!$O$2:$P$89,2,0),0)</f>
        <v>0</v>
      </c>
    </row>
    <row r="182" spans="17:18" ht="20.100000000000001" customHeight="1" x14ac:dyDescent="0.25">
      <c r="Q182" s="110">
        <f>IFERROR(VLOOKUP('CSV IDA'!A182,Procv!$O$2:$P$89,2,0),0)</f>
        <v>0</v>
      </c>
      <c r="R182" s="115">
        <f>IFERROR(VLOOKUP('CSV VOLTA'!A182,Procv!$O$2:$P$89,2,0),0)</f>
        <v>0</v>
      </c>
    </row>
    <row r="183" spans="17:18" ht="20.100000000000001" customHeight="1" x14ac:dyDescent="0.25">
      <c r="Q183" s="110">
        <f>IFERROR(VLOOKUP('CSV IDA'!A183,Procv!$O$2:$P$89,2,0),0)</f>
        <v>0</v>
      </c>
      <c r="R183" s="115">
        <f>IFERROR(VLOOKUP('CSV VOLTA'!A183,Procv!$O$2:$P$89,2,0),0)</f>
        <v>0</v>
      </c>
    </row>
    <row r="184" spans="17:18" ht="20.100000000000001" customHeight="1" x14ac:dyDescent="0.25">
      <c r="Q184" s="110">
        <f>IFERROR(VLOOKUP('CSV IDA'!A184,Procv!$O$2:$P$89,2,0),0)</f>
        <v>0</v>
      </c>
      <c r="R184" s="115">
        <f>IFERROR(VLOOKUP('CSV VOLTA'!A184,Procv!$O$2:$P$89,2,0),0)</f>
        <v>0</v>
      </c>
    </row>
    <row r="185" spans="17:18" ht="20.100000000000001" customHeight="1" x14ac:dyDescent="0.25">
      <c r="Q185" s="110">
        <f>IFERROR(VLOOKUP('CSV IDA'!A185,Procv!$O$2:$P$89,2,0),0)</f>
        <v>0</v>
      </c>
      <c r="R185" s="115">
        <f>IFERROR(VLOOKUP('CSV VOLTA'!A185,Procv!$O$2:$P$89,2,0),0)</f>
        <v>0</v>
      </c>
    </row>
    <row r="186" spans="17:18" ht="20.100000000000001" customHeight="1" x14ac:dyDescent="0.25">
      <c r="Q186" s="110">
        <f>IFERROR(VLOOKUP('CSV IDA'!A186,Procv!$O$2:$P$89,2,0),0)</f>
        <v>0</v>
      </c>
      <c r="R186" s="115">
        <f>IFERROR(VLOOKUP('CSV VOLTA'!A186,Procv!$O$2:$P$89,2,0),0)</f>
        <v>0</v>
      </c>
    </row>
    <row r="187" spans="17:18" ht="20.100000000000001" customHeight="1" x14ac:dyDescent="0.25">
      <c r="Q187" s="110">
        <f>IFERROR(VLOOKUP('CSV IDA'!A187,Procv!$O$2:$P$89,2,0),0)</f>
        <v>0</v>
      </c>
      <c r="R187" s="115">
        <f>IFERROR(VLOOKUP('CSV VOLTA'!A187,Procv!$O$2:$P$89,2,0),0)</f>
        <v>0</v>
      </c>
    </row>
    <row r="188" spans="17:18" ht="20.100000000000001" customHeight="1" x14ac:dyDescent="0.25">
      <c r="Q188" s="110">
        <f>IFERROR(VLOOKUP('CSV IDA'!A188,Procv!$O$2:$P$89,2,0),0)</f>
        <v>0</v>
      </c>
      <c r="R188" s="115">
        <f>IFERROR(VLOOKUP('CSV VOLTA'!A188,Procv!$O$2:$P$89,2,0),0)</f>
        <v>0</v>
      </c>
    </row>
    <row r="189" spans="17:18" ht="20.100000000000001" customHeight="1" x14ac:dyDescent="0.25">
      <c r="Q189" s="110">
        <f>IFERROR(VLOOKUP('CSV IDA'!A189,Procv!$O$2:$P$89,2,0),0)</f>
        <v>0</v>
      </c>
      <c r="R189" s="115">
        <f>IFERROR(VLOOKUP('CSV VOLTA'!A189,Procv!$O$2:$P$89,2,0),0)</f>
        <v>0</v>
      </c>
    </row>
    <row r="190" spans="17:18" ht="20.100000000000001" customHeight="1" x14ac:dyDescent="0.25">
      <c r="Q190" s="110">
        <f>IFERROR(VLOOKUP('CSV IDA'!A190,Procv!$O$2:$P$89,2,0),0)</f>
        <v>0</v>
      </c>
      <c r="R190" s="115">
        <f>IFERROR(VLOOKUP('CSV VOLTA'!A190,Procv!$O$2:$P$89,2,0),0)</f>
        <v>0</v>
      </c>
    </row>
    <row r="191" spans="17:18" ht="20.100000000000001" customHeight="1" x14ac:dyDescent="0.25">
      <c r="Q191" s="110">
        <f>IFERROR(VLOOKUP('CSV IDA'!A191,Procv!$O$2:$P$89,2,0),0)</f>
        <v>0</v>
      </c>
      <c r="R191" s="115">
        <f>IFERROR(VLOOKUP('CSV VOLTA'!A191,Procv!$O$2:$P$89,2,0),0)</f>
        <v>0</v>
      </c>
    </row>
    <row r="192" spans="17:18" ht="20.100000000000001" customHeight="1" x14ac:dyDescent="0.25">
      <c r="Q192" s="110">
        <f>IFERROR(VLOOKUP('CSV IDA'!A192,Procv!$O$2:$P$89,2,0),0)</f>
        <v>0</v>
      </c>
      <c r="R192" s="115">
        <f>IFERROR(VLOOKUP('CSV VOLTA'!A192,Procv!$O$2:$P$89,2,0),0)</f>
        <v>0</v>
      </c>
    </row>
    <row r="193" spans="17:18" ht="20.100000000000001" customHeight="1" x14ac:dyDescent="0.25">
      <c r="Q193" s="110">
        <f>IFERROR(VLOOKUP('CSV IDA'!A193,Procv!$O$2:$P$89,2,0),0)</f>
        <v>0</v>
      </c>
      <c r="R193" s="115">
        <f>IFERROR(VLOOKUP('CSV VOLTA'!A193,Procv!$O$2:$P$89,2,0),0)</f>
        <v>0</v>
      </c>
    </row>
    <row r="194" spans="17:18" ht="20.100000000000001" customHeight="1" x14ac:dyDescent="0.25">
      <c r="Q194" s="110">
        <f>IFERROR(VLOOKUP('CSV IDA'!A194,Procv!$O$2:$P$89,2,0),0)</f>
        <v>0</v>
      </c>
      <c r="R194" s="115">
        <f>IFERROR(VLOOKUP('CSV VOLTA'!A194,Procv!$O$2:$P$89,2,0),0)</f>
        <v>0</v>
      </c>
    </row>
    <row r="195" spans="17:18" ht="20.100000000000001" customHeight="1" x14ac:dyDescent="0.25">
      <c r="Q195" s="110">
        <f>IFERROR(VLOOKUP('CSV IDA'!A195,Procv!$O$2:$P$89,2,0),0)</f>
        <v>0</v>
      </c>
      <c r="R195" s="115">
        <f>IFERROR(VLOOKUP('CSV VOLTA'!A195,Procv!$O$2:$P$89,2,0),0)</f>
        <v>0</v>
      </c>
    </row>
    <row r="196" spans="17:18" ht="20.100000000000001" customHeight="1" x14ac:dyDescent="0.25">
      <c r="Q196" s="110">
        <f>IFERROR(VLOOKUP('CSV IDA'!A196,Procv!$O$2:$P$89,2,0),0)</f>
        <v>0</v>
      </c>
      <c r="R196" s="115">
        <f>IFERROR(VLOOKUP('CSV VOLTA'!A196,Procv!$O$2:$P$89,2,0),0)</f>
        <v>0</v>
      </c>
    </row>
    <row r="197" spans="17:18" ht="20.100000000000001" customHeight="1" x14ac:dyDescent="0.25">
      <c r="Q197" s="110">
        <f>IFERROR(VLOOKUP('CSV IDA'!A197,Procv!$O$2:$P$89,2,0),0)</f>
        <v>0</v>
      </c>
      <c r="R197" s="115">
        <f>IFERROR(VLOOKUP('CSV VOLTA'!A197,Procv!$O$2:$P$89,2,0),0)</f>
        <v>0</v>
      </c>
    </row>
    <row r="198" spans="17:18" ht="20.100000000000001" customHeight="1" x14ac:dyDescent="0.25">
      <c r="Q198" s="110">
        <f>IFERROR(VLOOKUP('CSV IDA'!A198,Procv!$O$2:$P$89,2,0),0)</f>
        <v>0</v>
      </c>
      <c r="R198" s="115">
        <f>IFERROR(VLOOKUP('CSV VOLTA'!A198,Procv!$O$2:$P$89,2,0),0)</f>
        <v>0</v>
      </c>
    </row>
    <row r="199" spans="17:18" ht="20.100000000000001" customHeight="1" thickBot="1" x14ac:dyDescent="0.3">
      <c r="Q199" s="112">
        <f>IFERROR(VLOOKUP('CSV IDA'!A199,Procv!$O$2:$P$89,2,0),0)</f>
        <v>0</v>
      </c>
      <c r="R199" s="116">
        <f>IFERROR(VLOOKUP('CSV VOLTA'!A199,Procv!$O$2:$P$89,2,0),0)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LINHA 093 DOM</vt:lpstr>
      <vt:lpstr>LINHA 094 DOM</vt:lpstr>
      <vt:lpstr>SÁB</vt:lpstr>
      <vt:lpstr>DOM</vt:lpstr>
      <vt:lpstr>DIGITAÇÃO</vt:lpstr>
      <vt:lpstr>DADOS CSV</vt:lpstr>
      <vt:lpstr>CSV IDA</vt:lpstr>
      <vt:lpstr>CSV VOLTA</vt:lpstr>
      <vt:lpstr>F U</vt:lpstr>
      <vt:lpstr>Procv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Oliveira</dc:creator>
  <cp:lastModifiedBy>Fernando Lopes</cp:lastModifiedBy>
  <dcterms:created xsi:type="dcterms:W3CDTF">2021-01-04T17:38:10Z</dcterms:created>
  <dcterms:modified xsi:type="dcterms:W3CDTF">2026-02-11T17:40:43Z</dcterms:modified>
</cp:coreProperties>
</file>